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总览" sheetId="1" state="visible" r:id="rId1"/>
    <sheet xmlns:r="http://schemas.openxmlformats.org/officeDocument/2006/relationships" name="个股明细" sheetId="2" state="visible" r:id="rId2"/>
    <sheet xmlns:r="http://schemas.openxmlformats.org/officeDocument/2006/relationships" name="ETF明细" sheetId="3" state="visible" r:id="rId3"/>
    <sheet xmlns:r="http://schemas.openxmlformats.org/officeDocument/2006/relationships" name="仓位计算器" sheetId="4" state="visible" r:id="rId4"/>
    <sheet xmlns:r="http://schemas.openxmlformats.org/officeDocument/2006/relationships" name="催化剂日历" sheetId="5" state="visible" r:id="rId5"/>
    <sheet xmlns:r="http://schemas.openxmlformats.org/officeDocument/2006/relationships" name="再平衡触发器" sheetId="6" state="visible" r:id="rId6"/>
    <sheet xmlns:r="http://schemas.openxmlformats.org/officeDocument/2006/relationships" name="风险止损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.0"/>
    <numFmt numFmtId="167" formatCode="0.000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i val="1"/>
      <color rgb="00FFFFFF"/>
      <sz val="11"/>
    </font>
    <font>
      <name val="微软雅黑"/>
      <b val="1"/>
      <color rgb="00000000"/>
      <sz val="11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i val="1"/>
      <color rgb="00555555"/>
      <sz val="9"/>
    </font>
    <font>
      <name val="微软雅黑"/>
      <b val="1"/>
      <color rgb="00FFFFFF"/>
      <sz val="14"/>
    </font>
    <font>
      <name val="微软雅黑"/>
      <b val="1"/>
      <color rgb="000000FF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  <border>
      <left/>
      <right/>
      <top style="thin">
        <color rgb="00B5B5B5"/>
      </top>
      <bottom/>
      <diagonal/>
    </border>
    <border>
      <left/>
      <right style="thin">
        <color rgb="00B5B5B5"/>
      </right>
      <top style="thin">
        <color rgb="00B5B5B5"/>
      </top>
      <bottom/>
      <diagonal/>
    </border>
    <border>
      <left/>
      <right/>
      <top style="thin">
        <color rgb="00B5B5B5"/>
      </top>
      <bottom style="thin">
        <color rgb="00B5B5B5"/>
      </bottom>
      <diagonal/>
    </border>
    <border>
      <left/>
      <right style="thin">
        <color rgb="00B5B5B5"/>
      </right>
      <top style="thin">
        <color rgb="00B5B5B5"/>
      </top>
      <bottom style="thin">
        <color rgb="00B5B5B5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pivotButton="0" quotePrefix="0" xfId="0"/>
    <xf numFmtId="164" fontId="6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/>
    </xf>
    <xf numFmtId="4" fontId="5" fillId="9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3" fontId="9" fillId="1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4" fontId="9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3" fontId="6" fillId="5" borderId="1" pivotButton="0" quotePrefix="0" xfId="0"/>
    <xf numFmtId="2" fontId="5" fillId="6" borderId="1" applyAlignment="1" pivotButton="0" quotePrefix="0" xfId="0">
      <alignment horizontal="right" vertical="center"/>
    </xf>
    <xf numFmtId="2" fontId="5" fillId="7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2" fontId="9" fillId="10" borderId="1" applyAlignment="1" pivotButton="0" quotePrefix="0" xfId="0">
      <alignment horizontal="right" vertical="center"/>
    </xf>
    <xf numFmtId="167" fontId="9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2026 Q2 A股三板块综合配置组合</t>
        </is>
      </c>
    </row>
    <row r="2" ht="30" customHeight="1"/>
    <row r="3" ht="30" customHeight="1"/>
    <row r="4" ht="24" customHeight="1">
      <c r="A4" s="3" t="inlineStr">
        <is>
          <t>报告日期 2026/05/13   |   数据基准日 2026/05/12   |   配置视角 中长期 6-12 月   |   覆盖 AI算力 + 半导体存储 + 新能源</t>
        </is>
      </c>
    </row>
    <row r="6">
      <c r="A6" s="5" t="inlineStr">
        <is>
          <t>① 板块权重分布（基础情形 · 推荐组合）</t>
        </is>
      </c>
    </row>
    <row r="7">
      <c r="A7" s="6" t="inlineStr">
        <is>
          <t>板块</t>
        </is>
      </c>
      <c r="B7" s="6" t="inlineStr">
        <is>
          <t>目标权重</t>
        </is>
      </c>
      <c r="C7" s="6" t="inlineStr">
        <is>
          <t>角色定位</t>
        </is>
      </c>
      <c r="D7" s="6" t="inlineStr">
        <is>
          <t>确定性</t>
        </is>
      </c>
      <c r="E7" s="6" t="inlineStr">
        <is>
          <t>弹性</t>
        </is>
      </c>
      <c r="F7" s="6" t="inlineStr">
        <is>
          <t>估值水位</t>
        </is>
      </c>
    </row>
    <row r="8">
      <c r="A8" s="7" t="inlineStr">
        <is>
          <t>AI算力</t>
        </is>
      </c>
      <c r="B8" s="8" t="n">
        <v>0.47</v>
      </c>
      <c r="C8" s="9" t="inlineStr">
        <is>
          <t>进攻主线 + 核心仓位</t>
        </is>
      </c>
      <c r="D8" s="7" t="inlineStr">
        <is>
          <t>★★★★★</t>
        </is>
      </c>
      <c r="E8" s="7" t="inlineStr">
        <is>
          <t>★★★★</t>
        </is>
      </c>
      <c r="F8" s="7" t="inlineStr">
        <is>
          <t>海外链 PE 30-80x / 国产链 PE 200-300x</t>
        </is>
      </c>
    </row>
    <row r="9">
      <c r="A9" s="7" t="inlineStr">
        <is>
          <t>半导体存储</t>
        </is>
      </c>
      <c r="B9" s="8" t="n">
        <v>0.21</v>
      </c>
      <c r="C9" s="9" t="inlineStr">
        <is>
          <t>高弹性 + 卫星仓位</t>
        </is>
      </c>
      <c r="D9" s="7" t="inlineStr">
        <is>
          <t>★★★★</t>
        </is>
      </c>
      <c r="E9" s="7" t="inlineStr">
        <is>
          <t>★★★★★</t>
        </is>
      </c>
      <c r="F9" s="7" t="inlineStr">
        <is>
          <t>PE 80-150x（部分300x+）</t>
        </is>
      </c>
    </row>
    <row r="10">
      <c r="A10" s="7" t="inlineStr">
        <is>
          <t>新能源</t>
        </is>
      </c>
      <c r="B10" s="8" t="n">
        <v>0.25</v>
      </c>
      <c r="C10" s="9" t="inlineStr">
        <is>
          <t>结构性配置 + 防御补充</t>
        </is>
      </c>
      <c r="D10" s="7" t="inlineStr">
        <is>
          <t>★★★★</t>
        </is>
      </c>
      <c r="E10" s="7" t="inlineStr">
        <is>
          <t>★★★</t>
        </is>
      </c>
      <c r="F10" s="7" t="inlineStr">
        <is>
          <t>电池 PE 30x / 海风 PE 20-40x</t>
        </is>
      </c>
    </row>
    <row r="11">
      <c r="A11" s="7" t="inlineStr">
        <is>
          <t>ETF缓冲</t>
        </is>
      </c>
      <c r="B11" s="8" t="n">
        <v>0.07000000000000001</v>
      </c>
      <c r="C11" s="9" t="inlineStr">
        <is>
          <t>流动性 + 再平衡工具</t>
        </is>
      </c>
      <c r="D11" s="7" t="inlineStr">
        <is>
          <t>★★★★</t>
        </is>
      </c>
      <c r="E11" s="7" t="inlineStr">
        <is>
          <t>★★★</t>
        </is>
      </c>
      <c r="F11" s="7" t="inlineStr">
        <is>
          <t>综合β工具</t>
        </is>
      </c>
    </row>
    <row r="12">
      <c r="A12" s="10" t="inlineStr">
        <is>
          <t>合计</t>
        </is>
      </c>
      <c r="B12" s="11">
        <f>SUM(B8:B11)</f>
        <v/>
      </c>
      <c r="C12" s="10" t="n"/>
      <c r="D12" s="10" t="n"/>
      <c r="E12" s="10" t="n"/>
      <c r="F12" s="10" t="n"/>
    </row>
    <row r="14">
      <c r="A14" s="5" t="inlineStr">
        <is>
          <t>② 三档情形 6-12 月预期收益</t>
        </is>
      </c>
    </row>
    <row r="15">
      <c r="A15" s="6" t="inlineStr">
        <is>
          <t>情形</t>
        </is>
      </c>
      <c r="B15" s="6" t="inlineStr">
        <is>
          <t>概率假设</t>
        </is>
      </c>
      <c r="C15" s="6" t="inlineStr">
        <is>
          <t>预期收益区间</t>
        </is>
      </c>
      <c r="D15" s="6" t="inlineStr">
        <is>
          <t>关键假设/触发条件</t>
        </is>
      </c>
      <c r="E15" s="12" t="n"/>
      <c r="F15" s="12" t="n"/>
      <c r="G15" s="12" t="n"/>
      <c r="H15" s="13" t="n"/>
    </row>
    <row r="16">
      <c r="A16" s="7" t="inlineStr">
        <is>
          <t>基础（中性）</t>
        </is>
      </c>
      <c r="B16" s="8" t="n">
        <v>0.55</v>
      </c>
      <c r="C16" s="7" t="inlineStr">
        <is>
          <t>+18% ~ +25%</t>
        </is>
      </c>
      <c r="D16" s="9" t="inlineStr">
        <is>
          <t>北美 CSP capex 兑现指引；A股流动性平稳；存储 Q2 涨价兑现</t>
        </is>
      </c>
      <c r="E16" s="12" t="n"/>
      <c r="F16" s="12" t="n"/>
      <c r="G16" s="12" t="n"/>
      <c r="H16" s="13" t="n"/>
    </row>
    <row r="17">
      <c r="A17" s="7" t="inlineStr">
        <is>
          <t>乐观</t>
        </is>
      </c>
      <c r="B17" s="8" t="n">
        <v>0.25</v>
      </c>
      <c r="C17" s="7" t="inlineStr">
        <is>
          <t>+30% ~ +45%</t>
        </is>
      </c>
      <c r="D17" s="9" t="inlineStr">
        <is>
          <t>Capex 超预期 + 1.6T 量产 + 长鑫 HBM 突破 + H200 持续未实际供货</t>
        </is>
      </c>
      <c r="E17" s="12" t="n"/>
      <c r="F17" s="12" t="n"/>
      <c r="G17" s="12" t="n"/>
      <c r="H17" s="13" t="n"/>
    </row>
    <row r="18">
      <c r="A18" s="7" t="inlineStr">
        <is>
          <t>悲观</t>
        </is>
      </c>
      <c r="B18" s="8" t="n">
        <v>0.2</v>
      </c>
      <c r="C18" s="7" t="inlineStr">
        <is>
          <t>-10% ~ -15%</t>
        </is>
      </c>
      <c r="D18" s="9" t="inlineStr">
        <is>
          <t>Capex 拐点确认 + 周期见顶 + 地缘升级（Blackwell/Rubin 扩大禁售）</t>
        </is>
      </c>
      <c r="E18" s="12" t="n"/>
      <c r="F18" s="12" t="n"/>
      <c r="G18" s="12" t="n"/>
      <c r="H18" s="13" t="n"/>
    </row>
    <row r="20">
      <c r="A20" s="5" t="inlineStr">
        <is>
          <t>③ 适用投资者画像</t>
        </is>
      </c>
    </row>
    <row r="21">
      <c r="A21" s="6" t="inlineStr">
        <is>
          <t>类型</t>
        </is>
      </c>
      <c r="B21" s="6" t="inlineStr">
        <is>
          <t>AI算力</t>
        </is>
      </c>
      <c r="C21" s="6" t="inlineStr">
        <is>
          <t>半导体存储</t>
        </is>
      </c>
      <c r="D21" s="6" t="inlineStr">
        <is>
          <t>新能源</t>
        </is>
      </c>
      <c r="E21" s="6" t="inlineStr">
        <is>
          <t>ETF</t>
        </is>
      </c>
      <c r="F21" s="6" t="inlineStr">
        <is>
          <t>适用人群</t>
        </is>
      </c>
      <c r="G21" s="12" t="n"/>
      <c r="H21" s="13" t="n"/>
    </row>
    <row r="22">
      <c r="A22" s="7" t="inlineStr">
        <is>
          <t>进攻型</t>
        </is>
      </c>
      <c r="B22" s="8" t="n">
        <v>0.5</v>
      </c>
      <c r="C22" s="8" t="n">
        <v>0.3</v>
      </c>
      <c r="D22" s="8" t="n">
        <v>0.15</v>
      </c>
      <c r="E22" s="8" t="n">
        <v>0.05</v>
      </c>
      <c r="F22" s="9" t="inlineStr">
        <is>
          <t>风险承受能力高、专注成长股</t>
        </is>
      </c>
      <c r="G22" s="12" t="n"/>
      <c r="H22" s="13" t="n"/>
    </row>
    <row r="23">
      <c r="A23" s="14" t="inlineStr">
        <is>
          <t>均衡型（推荐）</t>
        </is>
      </c>
      <c r="B23" s="15" t="n">
        <v>0.47</v>
      </c>
      <c r="C23" s="15" t="n">
        <v>0.21</v>
      </c>
      <c r="D23" s="15" t="n">
        <v>0.25</v>
      </c>
      <c r="E23" s="15" t="n">
        <v>0.07000000000000001</v>
      </c>
      <c r="F23" s="16" t="inlineStr">
        <is>
          <t>中长期配置、对三板块均有信心</t>
        </is>
      </c>
      <c r="G23" s="12" t="n"/>
      <c r="H23" s="13" t="n"/>
    </row>
    <row r="24">
      <c r="A24" s="7" t="inlineStr">
        <is>
          <t>稳健型</t>
        </is>
      </c>
      <c r="B24" s="8" t="n">
        <v>0.35</v>
      </c>
      <c r="C24" s="8" t="n">
        <v>0.15</v>
      </c>
      <c r="D24" s="8" t="n">
        <v>0.35</v>
      </c>
      <c r="E24" s="8" t="n">
        <v>0.15</v>
      </c>
      <c r="F24" s="9" t="inlineStr">
        <is>
          <t>控制波动、利率敏感、红利偏好</t>
        </is>
      </c>
      <c r="G24" s="12" t="n"/>
      <c r="H24" s="13" t="n"/>
    </row>
    <row r="26">
      <c r="A26" s="5" t="inlineStr">
        <is>
          <t>④ 工作簿配色图例</t>
        </is>
      </c>
    </row>
    <row r="27">
      <c r="A27" s="17" t="inlineStr">
        <is>
          <t>核心标的 / 浅蓝</t>
        </is>
      </c>
    </row>
    <row r="28">
      <c r="A28" s="18" t="inlineStr">
        <is>
          <t>弹性标的 / 浅黄</t>
        </is>
      </c>
    </row>
    <row r="29">
      <c r="A29" s="19" t="inlineStr">
        <is>
          <t>ETF 配置 / 浅绿</t>
        </is>
      </c>
    </row>
    <row r="30">
      <c r="A30" s="20" t="inlineStr">
        <is>
          <t>防御标的 / 浅灰</t>
        </is>
      </c>
    </row>
    <row r="31">
      <c r="A31" s="21" t="inlineStr">
        <is>
          <t>可编辑输入 / 黄底</t>
        </is>
      </c>
    </row>
    <row r="33">
      <c r="A33" s="22" t="inlineStr">
        <is>
          <t>说明：① 本工作簿基于 reports/synthesis.md 综合配置生成；② 单元格颜色 蓝色=硬编码输入、黑色=公式、绿色=跨表链接；③ 本组合不构成投资建议。</t>
        </is>
      </c>
    </row>
  </sheetData>
  <mergeCells count="15">
    <mergeCell ref="F23:H23"/>
    <mergeCell ref="A4:H4"/>
    <mergeCell ref="A26:H26"/>
    <mergeCell ref="D15:H15"/>
    <mergeCell ref="D16:H16"/>
    <mergeCell ref="F22:H22"/>
    <mergeCell ref="A20:H20"/>
    <mergeCell ref="F24:H24"/>
    <mergeCell ref="A33:H33"/>
    <mergeCell ref="A14:H14"/>
    <mergeCell ref="F21:H21"/>
    <mergeCell ref="D18:H18"/>
    <mergeCell ref="A1:H3"/>
    <mergeCell ref="A6:H6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14" customWidth="1" min="11" max="11"/>
    <col width="14" customWidth="1" min="12" max="12"/>
    <col width="10" customWidth="1" min="13" max="13"/>
    <col width="9" customWidth="1" min="14" max="14"/>
    <col width="12" customWidth="1" min="15" max="15"/>
    <col width="38" customWidth="1" min="16" max="16"/>
    <col width="32" customWidth="1" min="17" max="17"/>
    <col width="28" customWidth="1" min="18" max="18"/>
  </cols>
  <sheetData>
    <row r="1" ht="26" customHeight="1">
      <c r="A1" s="23" t="inlineStr">
        <is>
          <t>个股明细 · 12 只 · 基础情形权重 85%</t>
        </is>
      </c>
    </row>
    <row r="2" ht="38" customHeight="1">
      <c r="A2" s="6" t="inlineStr">
        <is>
          <t>序号</t>
        </is>
      </c>
      <c r="B2" s="6" t="inlineStr">
        <is>
          <t>代码</t>
        </is>
      </c>
      <c r="C2" s="6" t="inlineStr">
        <is>
          <t>名称</t>
        </is>
      </c>
      <c r="D2" s="6" t="inlineStr">
        <is>
          <t>板块</t>
        </is>
      </c>
      <c r="E2" s="6" t="inlineStr">
        <is>
          <t>当前价
(2026/05/12收盘)</t>
        </is>
      </c>
      <c r="F2" s="6" t="inlineStr">
        <is>
          <t>总市值(亿)
(2026/05/12)</t>
        </is>
      </c>
      <c r="G2" s="6" t="inlineStr">
        <is>
          <t>PE_TTM
(2025Q2-2026Q1)</t>
        </is>
      </c>
      <c r="H2" s="6" t="inlineStr">
        <is>
          <t>PB
(2026/05/12)</t>
        </is>
      </c>
      <c r="I2" s="6" t="inlineStr">
        <is>
          <t>2025年报营收(亿)</t>
        </is>
      </c>
      <c r="J2" s="6" t="inlineStr">
        <is>
          <t>2025年报归母净利(亿)</t>
        </is>
      </c>
      <c r="K2" s="6" t="inlineStr">
        <is>
          <t>2026Q1营收(亿)
(同比基期 2025Q1)</t>
        </is>
      </c>
      <c r="L2" s="6" t="inlineStr">
        <is>
          <t>2026Q1归母净利(亿)
(同比基期 2025Q1)</t>
        </is>
      </c>
      <c r="M2" s="6" t="inlineStr">
        <is>
          <t>角色</t>
        </is>
      </c>
      <c r="N2" s="6" t="inlineStr">
        <is>
          <t>权重(%)</t>
        </is>
      </c>
      <c r="O2" s="6" t="inlineStr">
        <is>
          <t>12月目标涨幅</t>
        </is>
      </c>
      <c r="P2" s="6" t="inlineStr">
        <is>
          <t>推荐逻辑(简)</t>
        </is>
      </c>
      <c r="Q2" s="6" t="inlineStr">
        <is>
          <t>关键风险</t>
        </is>
      </c>
      <c r="R2" s="6" t="inlineStr">
        <is>
          <t>催化剂</t>
        </is>
      </c>
    </row>
    <row r="3" ht="48" customHeight="1">
      <c r="A3" s="24" t="n">
        <v>1</v>
      </c>
      <c r="B3" s="25" t="inlineStr">
        <is>
          <t>601138.SH</t>
        </is>
      </c>
      <c r="C3" s="24" t="inlineStr">
        <is>
          <t>工业富联</t>
        </is>
      </c>
      <c r="D3" s="24" t="inlineStr">
        <is>
          <t>AI算力</t>
        </is>
      </c>
      <c r="E3" s="26" t="n">
        <v>64.40000000000001</v>
      </c>
      <c r="F3" s="27" t="n">
        <v>12780</v>
      </c>
      <c r="G3" s="28" t="n">
        <v>31</v>
      </c>
      <c r="H3" s="28" t="n">
        <v>7.3</v>
      </c>
      <c r="I3" s="26" t="n">
        <v>9028.870000000001</v>
      </c>
      <c r="J3" s="26" t="n">
        <v>352.86</v>
      </c>
      <c r="K3" s="26" t="n">
        <v>2510.78</v>
      </c>
      <c r="L3" s="26" t="n">
        <v>105.95</v>
      </c>
      <c r="M3" s="24" t="inlineStr">
        <is>
          <t>核心</t>
        </is>
      </c>
      <c r="N3" s="29" t="n">
        <v>0.15</v>
      </c>
      <c r="O3" s="25" t="inlineStr">
        <is>
          <t>+13~21%</t>
        </is>
      </c>
      <c r="P3" s="17" t="inlineStr">
        <is>
          <t>A股唯一万亿AI服务器龙头；NV GB200/GB300订单；PE&lt;35x合理估值</t>
        </is>
      </c>
      <c r="Q3" s="17" t="inlineStr">
        <is>
          <t>代工模式毛利率压制；北美capex拐点</t>
        </is>
      </c>
      <c r="R3" s="17" t="inlineStr">
        <is>
          <t>5月底NV财报；6月CSP capex中期指引</t>
        </is>
      </c>
    </row>
    <row r="4" ht="48" customHeight="1">
      <c r="A4" s="24" t="n">
        <v>2</v>
      </c>
      <c r="B4" s="25" t="inlineStr">
        <is>
          <t>300750.SZ</t>
        </is>
      </c>
      <c r="C4" s="24" t="inlineStr">
        <is>
          <t>宁德时代</t>
        </is>
      </c>
      <c r="D4" s="24" t="inlineStr">
        <is>
          <t>新能源</t>
        </is>
      </c>
      <c r="E4" s="26" t="n">
        <v>431.25</v>
      </c>
      <c r="F4" s="27" t="n">
        <v>19952</v>
      </c>
      <c r="G4" s="28" t="n">
        <v>25.3</v>
      </c>
      <c r="H4" s="28" t="n">
        <v>5.54</v>
      </c>
      <c r="I4" s="26" t="n">
        <v>4237.02</v>
      </c>
      <c r="J4" s="26" t="n">
        <v>722.01</v>
      </c>
      <c r="K4" s="26" t="n">
        <v>1291</v>
      </c>
      <c r="L4" s="26" t="n">
        <v>207</v>
      </c>
      <c r="M4" s="24" t="inlineStr">
        <is>
          <t>核心</t>
        </is>
      </c>
      <c r="N4" s="29" t="n">
        <v>0.1</v>
      </c>
      <c r="O4" s="25" t="inlineStr">
        <is>
          <t>+25~35%</t>
        </is>
      </c>
      <c r="P4" s="17" t="inlineStr">
        <is>
          <t>全球锂电龙头；储能+AIDC双驱动；2026Q1储能+108%、动力市占率50.1%</t>
        </is>
      </c>
      <c r="Q4" s="17" t="inlineStr">
        <is>
          <t>碳酸锂下半年倒V；美国关税升级</t>
        </is>
      </c>
      <c r="R4" s="17" t="inlineStr">
        <is>
          <t>2027 Q1 587Ah放量；储能60GWh兑现</t>
        </is>
      </c>
    </row>
    <row r="5" ht="48" customHeight="1">
      <c r="A5" s="24" t="n">
        <v>3</v>
      </c>
      <c r="B5" s="25" t="inlineStr">
        <is>
          <t>002463.SZ</t>
        </is>
      </c>
      <c r="C5" s="24" t="inlineStr">
        <is>
          <t>沪电股份</t>
        </is>
      </c>
      <c r="D5" s="24" t="inlineStr">
        <is>
          <t>AI算力</t>
        </is>
      </c>
      <c r="E5" s="26" t="n">
        <v>108.7</v>
      </c>
      <c r="F5" s="27" t="n">
        <v>2091</v>
      </c>
      <c r="G5" s="28" t="n">
        <v>49</v>
      </c>
      <c r="H5" s="28" t="n">
        <v>13.2</v>
      </c>
      <c r="I5" s="26" t="n">
        <v>189.45</v>
      </c>
      <c r="J5" s="26" t="n">
        <v>38.22</v>
      </c>
      <c r="K5" s="26" t="n">
        <v>62.14</v>
      </c>
      <c r="L5" s="26" t="n">
        <v>12.42</v>
      </c>
      <c r="M5" s="24" t="inlineStr">
        <is>
          <t>核心</t>
        </is>
      </c>
      <c r="N5" s="29" t="n">
        <v>0.08</v>
      </c>
      <c r="O5" s="25" t="inlineStr">
        <is>
          <t>+15~25%</t>
        </is>
      </c>
      <c r="P5" s="17" t="inlineStr">
        <is>
          <t>AI高端PCB龙头；2026Q1净利+63%；泰国基地量产；产能扩张最激进</t>
        </is>
      </c>
      <c r="Q5" s="17" t="inlineStr">
        <is>
          <t>PCB 2026H2新产能集中释放</t>
        </is>
      </c>
      <c r="R5" s="17" t="inlineStr">
        <is>
          <t>2026H2昆山AI芯片PCB项目试产</t>
        </is>
      </c>
    </row>
    <row r="6" ht="48" customHeight="1">
      <c r="A6" s="24" t="n">
        <v>4</v>
      </c>
      <c r="B6" s="25" t="inlineStr">
        <is>
          <t>688008.SH</t>
        </is>
      </c>
      <c r="C6" s="24" t="inlineStr">
        <is>
          <t>澜起科技</t>
        </is>
      </c>
      <c r="D6" s="24" t="inlineStr">
        <is>
          <t>AI算力/存储</t>
        </is>
      </c>
      <c r="E6" s="66" t="n">
        <v>240.7</v>
      </c>
      <c r="F6" s="26" t="n">
        <v>294.18</v>
      </c>
      <c r="G6" s="66" t="n">
        <v>115.02</v>
      </c>
      <c r="H6" s="66" t="n">
        <v>14.11</v>
      </c>
      <c r="I6" s="26" t="n">
        <v>54.56</v>
      </c>
      <c r="J6" s="26" t="n">
        <v>22.36</v>
      </c>
      <c r="K6" s="26" t="n">
        <v>14.61</v>
      </c>
      <c r="L6" s="26" t="n">
        <v>8.470000000000001</v>
      </c>
      <c r="M6" s="24" t="inlineStr">
        <is>
          <t>核心</t>
        </is>
      </c>
      <c r="N6" s="29" t="n">
        <v>0.08</v>
      </c>
      <c r="O6" s="25" t="inlineStr">
        <is>
          <t>+35~50%</t>
        </is>
      </c>
      <c r="P6" s="17" t="inlineStr">
        <is>
          <t>内存接口芯片全球龙头；DDR5渗透+MRDIMM+PCIe Retimer三引擎</t>
        </is>
      </c>
      <c r="Q6" s="17" t="inlineStr">
        <is>
          <t>DDR5渗透节奏；地缘风险延误认证</t>
        </is>
      </c>
      <c r="R6" s="17" t="inlineStr">
        <is>
          <t>MRDIMM Gen2量产；CXL 3.x送样</t>
        </is>
      </c>
    </row>
    <row r="7" ht="48" customHeight="1">
      <c r="A7" s="24" t="n">
        <v>5</v>
      </c>
      <c r="B7" s="25" t="inlineStr">
        <is>
          <t>603986.SH</t>
        </is>
      </c>
      <c r="C7" s="24" t="inlineStr">
        <is>
          <t>兆易创新</t>
        </is>
      </c>
      <c r="D7" s="24" t="inlineStr">
        <is>
          <t>半导体存储</t>
        </is>
      </c>
      <c r="E7" s="66" t="n">
        <v>353.55</v>
      </c>
      <c r="F7" s="27" t="n">
        <v>2479</v>
      </c>
      <c r="G7" s="28" t="n">
        <v>86.2</v>
      </c>
      <c r="H7" s="28" t="n">
        <v>9.800000000000001</v>
      </c>
      <c r="I7" s="26" t="n">
        <v>92.03</v>
      </c>
      <c r="J7" s="26" t="n">
        <v>16.48</v>
      </c>
      <c r="K7" s="26" t="n">
        <v>41.88</v>
      </c>
      <c r="L7" s="26" t="n">
        <v>14.61</v>
      </c>
      <c r="M7" s="24" t="inlineStr">
        <is>
          <t>核心</t>
        </is>
      </c>
      <c r="N7" s="29" t="n">
        <v>0.07000000000000001</v>
      </c>
      <c r="O7" s="25" t="inlineStr">
        <is>
          <t>+25~40%</t>
        </is>
      </c>
      <c r="P7" s="17" t="inlineStr">
        <is>
          <t>A股利基存储基本盘；NOR/SLC NAND+利基DRAM全面受益AI挤出效应</t>
        </is>
      </c>
      <c r="Q7" s="17" t="inlineStr">
        <is>
          <t>利基DRAM涨价节奏受长鑫产能影响</t>
        </is>
      </c>
      <c r="R7" s="17" t="inlineStr">
        <is>
          <t>2Q26 DDR4再涨；H股流动性提升</t>
        </is>
      </c>
    </row>
    <row r="8" ht="48" customHeight="1">
      <c r="A8" s="30" t="n">
        <v>6</v>
      </c>
      <c r="B8" s="31" t="inlineStr">
        <is>
          <t>601985.SH</t>
        </is>
      </c>
      <c r="C8" s="30" t="inlineStr">
        <is>
          <t>中国核电</t>
        </is>
      </c>
      <c r="D8" s="30" t="inlineStr">
        <is>
          <t>新能源(防御)</t>
        </is>
      </c>
      <c r="E8" s="32" t="n">
        <v>9.23</v>
      </c>
      <c r="F8" s="33" t="n">
        <v>1898</v>
      </c>
      <c r="G8" s="34" t="n">
        <v>23.1</v>
      </c>
      <c r="H8" s="34" t="n">
        <v>1.58</v>
      </c>
      <c r="I8" s="32" t="n">
        <v>820.76</v>
      </c>
      <c r="J8" s="32" t="n">
        <v>93.04000000000001</v>
      </c>
      <c r="K8" s="32" t="n">
        <v>189.25</v>
      </c>
      <c r="L8" s="32" t="n">
        <v>20.64</v>
      </c>
      <c r="M8" s="30" t="inlineStr">
        <is>
          <t>核心</t>
        </is>
      </c>
      <c r="N8" s="35" t="n">
        <v>0.07000000000000001</v>
      </c>
      <c r="O8" s="31" t="inlineStr">
        <is>
          <t>+14~17%</t>
        </is>
      </c>
      <c r="P8" s="20" t="inlineStr">
        <is>
          <t>央企核电运营龙头；PB分位15%低位；股息+长期成长；利率敏感</t>
        </is>
      </c>
      <c r="Q8" s="20" t="inlineStr">
        <is>
          <t>电价改革让利；新机组商运滞后</t>
        </is>
      </c>
      <c r="R8" s="20" t="inlineStr">
        <is>
          <t>2026下半年新一轮10+台核准</t>
        </is>
      </c>
    </row>
    <row r="9" ht="48" customHeight="1">
      <c r="A9" s="36" t="n">
        <v>7</v>
      </c>
      <c r="B9" s="37" t="inlineStr">
        <is>
          <t>688525.SH</t>
        </is>
      </c>
      <c r="C9" s="36" t="inlineStr">
        <is>
          <t>佰维存储</t>
        </is>
      </c>
      <c r="D9" s="36" t="inlineStr">
        <is>
          <t>半导体存储</t>
        </is>
      </c>
      <c r="E9" s="67" t="n">
        <v>308.97</v>
      </c>
      <c r="F9" s="38" t="n">
        <v>145.47</v>
      </c>
      <c r="G9" s="67" t="n">
        <v>36.83</v>
      </c>
      <c r="H9" s="67" t="n">
        <v>17.09</v>
      </c>
      <c r="I9" s="38" t="n">
        <v>113.02</v>
      </c>
      <c r="J9" s="38" t="n">
        <v>8.529999999999999</v>
      </c>
      <c r="K9" s="38" t="n">
        <v>68.14</v>
      </c>
      <c r="L9" s="38" t="n">
        <v>28.99</v>
      </c>
      <c r="M9" s="36" t="inlineStr">
        <is>
          <t>弹性</t>
        </is>
      </c>
      <c r="N9" s="41" t="n">
        <v>0.06</v>
      </c>
      <c r="O9" s="37" t="inlineStr">
        <is>
          <t>+40~80%</t>
        </is>
      </c>
      <c r="P9" s="18" t="inlineStr">
        <is>
          <t>本轮周期业绩弹性最大；AI端侧存储核心；2026Q1净利29亿(年化100亿+)</t>
        </is>
      </c>
      <c r="Q9" s="18" t="inlineStr">
        <is>
          <t>存储价格反转弹性最大；客户集中</t>
        </is>
      </c>
      <c r="R9" s="18" t="inlineStr">
        <is>
          <t>15亿USD 2年期晶圆LTA锁价</t>
        </is>
      </c>
    </row>
    <row r="10" ht="48" customHeight="1">
      <c r="A10" s="36" t="n">
        <v>8</v>
      </c>
      <c r="B10" s="37" t="inlineStr">
        <is>
          <t>300308.SZ</t>
        </is>
      </c>
      <c r="C10" s="36" t="inlineStr">
        <is>
          <t>中际旭创</t>
        </is>
      </c>
      <c r="D10" s="36" t="inlineStr">
        <is>
          <t>AI算力</t>
        </is>
      </c>
      <c r="E10" s="38" t="n">
        <v>1018</v>
      </c>
      <c r="F10" s="39" t="n">
        <v>11336</v>
      </c>
      <c r="G10" s="40" t="n">
        <v>76</v>
      </c>
      <c r="H10" s="40" t="n">
        <v>32.8</v>
      </c>
      <c r="I10" s="38" t="n">
        <v>382.4</v>
      </c>
      <c r="J10" s="38" t="n">
        <v>107.97</v>
      </c>
      <c r="K10" s="38" t="n">
        <v>194.96</v>
      </c>
      <c r="L10" s="38" t="n">
        <v>57.35</v>
      </c>
      <c r="M10" s="36" t="inlineStr">
        <is>
          <t>弹性</t>
        </is>
      </c>
      <c r="N10" s="41" t="n">
        <v>0.06</v>
      </c>
      <c r="O10" s="37" t="inlineStr">
        <is>
          <t>+10~15%</t>
        </is>
      </c>
      <c r="P10" s="18" t="inlineStr">
        <is>
          <t>1.6T全球独家量产；NV 80%份额；2026产能1500万只</t>
        </is>
      </c>
      <c r="Q10" s="18" t="inlineStr">
        <is>
          <t>估值已部分透支；硅光替代</t>
        </is>
      </c>
      <c r="R10" s="18" t="inlineStr">
        <is>
          <t>2026H2 NV Rubin发布；Q3报披露</t>
        </is>
      </c>
    </row>
    <row r="11" ht="48" customHeight="1">
      <c r="A11" s="36" t="n">
        <v>9</v>
      </c>
      <c r="B11" s="37" t="inlineStr">
        <is>
          <t>688041.SH</t>
        </is>
      </c>
      <c r="C11" s="36" t="inlineStr">
        <is>
          <t>海光信息</t>
        </is>
      </c>
      <c r="D11" s="36" t="inlineStr">
        <is>
          <t>AI算力(国产)</t>
        </is>
      </c>
      <c r="E11" s="38" t="n">
        <v>349.2</v>
      </c>
      <c r="F11" s="39" t="n">
        <v>8116</v>
      </c>
      <c r="G11" s="40" t="n">
        <v>298</v>
      </c>
      <c r="H11" s="40" t="n">
        <v>34.5</v>
      </c>
      <c r="I11" s="38" t="n">
        <v>143.77</v>
      </c>
      <c r="J11" s="38" t="n">
        <v>25.45</v>
      </c>
      <c r="K11" s="38" t="n">
        <v>40.34</v>
      </c>
      <c r="L11" s="38" t="n">
        <v>6.87</v>
      </c>
      <c r="M11" s="36" t="inlineStr">
        <is>
          <t>弹性</t>
        </is>
      </c>
      <c r="N11" s="41" t="n">
        <v>0.05</v>
      </c>
      <c r="O11" s="37" t="inlineStr">
        <is>
          <t>+9~20%</t>
        </is>
      </c>
      <c r="P11" s="18" t="inlineStr">
        <is>
          <t>国产CPU+DCU双轮；DCU适配365款大模型；2026Q1营收+68%</t>
        </is>
      </c>
      <c r="Q11" s="18" t="inlineStr">
        <is>
          <t>估值300x已透支；产能(SMIC)瓶颈</t>
        </is>
      </c>
      <c r="R11" s="18" t="inlineStr">
        <is>
          <t>深算四号研发；昇腾910D量产</t>
        </is>
      </c>
    </row>
    <row r="12" ht="48" customHeight="1">
      <c r="A12" s="36" t="n">
        <v>10</v>
      </c>
      <c r="B12" s="37" t="inlineStr">
        <is>
          <t>002837.SZ</t>
        </is>
      </c>
      <c r="C12" s="36" t="inlineStr">
        <is>
          <t>英维克</t>
        </is>
      </c>
      <c r="D12" s="36" t="inlineStr">
        <is>
          <t>AI算力(液冷)</t>
        </is>
      </c>
      <c r="E12" s="38" t="n">
        <v>100</v>
      </c>
      <c r="F12" s="39" t="n">
        <v>977</v>
      </c>
      <c r="G12" s="40" t="n">
        <v>203</v>
      </c>
      <c r="H12" s="40" t="n">
        <v>28</v>
      </c>
      <c r="I12" s="38" t="n">
        <v>60.68</v>
      </c>
      <c r="J12" s="38" t="n">
        <v>5.22</v>
      </c>
      <c r="K12" s="38" t="n">
        <v>11.75</v>
      </c>
      <c r="L12" s="38" t="n">
        <v>0.09</v>
      </c>
      <c r="M12" s="36" t="inlineStr">
        <is>
          <t>弹性</t>
        </is>
      </c>
      <c r="N12" s="41" t="n">
        <v>0.05</v>
      </c>
      <c r="O12" s="37" t="inlineStr">
        <is>
          <t>+15~30%</t>
        </is>
      </c>
      <c r="P12" s="18" t="inlineStr">
        <is>
          <t>液冷0→1爆发；GB300订单50%份额；进入NV/谷歌供应链</t>
        </is>
      </c>
      <c r="Q12" s="18" t="inlineStr">
        <is>
          <t>项目交付节奏；高估值消化</t>
        </is>
      </c>
      <c r="R12" s="18" t="inlineStr">
        <is>
          <t>Q2-Q3订单兑现；谷歌审厂结果</t>
        </is>
      </c>
    </row>
    <row r="13" ht="48" customHeight="1">
      <c r="A13" s="36" t="n">
        <v>11</v>
      </c>
      <c r="B13" s="37" t="inlineStr">
        <is>
          <t>603606.SH</t>
        </is>
      </c>
      <c r="C13" s="36" t="inlineStr">
        <is>
          <t>东方电缆</t>
        </is>
      </c>
      <c r="D13" s="36" t="inlineStr">
        <is>
          <t>新能源(海风)</t>
        </is>
      </c>
      <c r="E13" s="38" t="n">
        <v>62.07</v>
      </c>
      <c r="F13" s="39" t="n">
        <v>427</v>
      </c>
      <c r="G13" s="40" t="n">
        <v>31.3</v>
      </c>
      <c r="H13" s="40" t="n">
        <v>5.02</v>
      </c>
      <c r="I13" s="38" t="n">
        <v>108.43</v>
      </c>
      <c r="J13" s="38" t="n">
        <v>12.71</v>
      </c>
      <c r="K13" s="38" t="n">
        <v>28.83</v>
      </c>
      <c r="L13" s="38" t="n">
        <v>3.72</v>
      </c>
      <c r="M13" s="36" t="inlineStr">
        <is>
          <t>弹性</t>
        </is>
      </c>
      <c r="N13" s="41" t="n">
        <v>0.04</v>
      </c>
      <c r="O13" s="37" t="inlineStr">
        <is>
          <t>+30~45%</t>
        </is>
      </c>
      <c r="P13" s="18" t="inlineStr">
        <is>
          <t>海缆双寡头；2026海风装机翻倍受益；PE分位仅21%最具吸引力</t>
        </is>
      </c>
      <c r="Q13" s="18" t="inlineStr">
        <is>
          <t>海风招标价格战；技术迭代</t>
        </is>
      </c>
      <c r="R13" s="18" t="inlineStr">
        <is>
          <t>2026 Q2海风招标15-20GW</t>
        </is>
      </c>
    </row>
    <row r="14" ht="48" customHeight="1">
      <c r="A14" s="36" t="n">
        <v>12</v>
      </c>
      <c r="B14" s="37" t="inlineStr">
        <is>
          <t>002487.SZ</t>
        </is>
      </c>
      <c r="C14" s="36" t="inlineStr">
        <is>
          <t>大金重工</t>
        </is>
      </c>
      <c r="D14" s="36" t="inlineStr">
        <is>
          <t>新能源(海风)</t>
        </is>
      </c>
      <c r="E14" s="38" t="n">
        <v>83.20999999999999</v>
      </c>
      <c r="F14" s="39" t="n">
        <v>531</v>
      </c>
      <c r="G14" s="40" t="n">
        <v>40.6</v>
      </c>
      <c r="H14" s="40" t="n">
        <v>6.13</v>
      </c>
      <c r="I14" s="38" t="n">
        <v>61.74</v>
      </c>
      <c r="J14" s="38" t="n">
        <v>11.03</v>
      </c>
      <c r="K14" s="38" t="n">
        <v>19.07</v>
      </c>
      <c r="L14" s="38" t="n">
        <v>4.35</v>
      </c>
      <c r="M14" s="36" t="inlineStr">
        <is>
          <t>弹性</t>
        </is>
      </c>
      <c r="N14" s="41" t="n">
        <v>0.04</v>
      </c>
      <c r="O14" s="37" t="inlineStr">
        <is>
          <t>+15~25%</t>
        </is>
      </c>
      <c r="P14" s="18" t="inlineStr">
        <is>
          <t>海风塔筒龙头；2025前三季归母+215%；欧洲出口逻辑</t>
        </is>
      </c>
      <c r="Q14" s="18" t="inlineStr">
        <is>
          <t>PB分位97%；业绩兑现容错率低</t>
        </is>
      </c>
      <c r="R14" s="18" t="inlineStr">
        <is>
          <t>英国脱碳路径；海外订单兑现</t>
        </is>
      </c>
    </row>
    <row r="15">
      <c r="A15" s="10" t="inlineStr"/>
      <c r="B15" s="10" t="inlineStr">
        <is>
          <t>个股合计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1">
        <f>SUM(N3:N14)</f>
        <v/>
      </c>
      <c r="O15" s="10" t="n"/>
      <c r="P15" s="10" t="n"/>
      <c r="Q15" s="10" t="n"/>
      <c r="R15" s="10" t="n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40" customWidth="1" min="11" max="11"/>
  </cols>
  <sheetData>
    <row r="1" ht="26" customHeight="1">
      <c r="A1" s="23" t="inlineStr">
        <is>
          <t>ETF 明细 · 4 只 · 基础情形权重 15%</t>
        </is>
      </c>
    </row>
    <row r="2" ht="34" customHeight="1">
      <c r="A2" s="6" t="inlineStr">
        <is>
          <t>代码</t>
        </is>
      </c>
      <c r="B2" s="6" t="inlineStr">
        <is>
          <t>名称</t>
        </is>
      </c>
      <c r="C2" s="6" t="inlineStr">
        <is>
          <t>跟踪指数</t>
        </is>
      </c>
      <c r="D2" s="6" t="inlineStr">
        <is>
          <t>规模(亿)
(2026/05截止)</t>
        </is>
      </c>
      <c r="E2" s="6" t="inlineStr">
        <is>
          <t>YTD%
(2026/01/01起)</t>
        </is>
      </c>
      <c r="F2" s="6" t="inlineStr">
        <is>
          <t>6M%
(至2026/05/12)</t>
        </is>
      </c>
      <c r="G2" s="6" t="inlineStr">
        <is>
          <t>12M%
(至2026/05/12)</t>
        </is>
      </c>
      <c r="H2" s="6" t="inlineStr">
        <is>
          <t>日均成交(亿)
(近20日)</t>
        </is>
      </c>
      <c r="I2" s="6" t="inlineStr">
        <is>
          <t>管理费</t>
        </is>
      </c>
      <c r="J2" s="6" t="inlineStr">
        <is>
          <t>权重(%)</t>
        </is>
      </c>
      <c r="K2" s="6" t="inlineStr">
        <is>
          <t>作用</t>
        </is>
      </c>
    </row>
    <row r="3" ht="36" customHeight="1">
      <c r="A3" s="42" t="inlineStr">
        <is>
          <t>159363.SZ</t>
        </is>
      </c>
      <c r="B3" s="42" t="inlineStr">
        <is>
          <t>算力ETF基金</t>
        </is>
      </c>
      <c r="C3" s="42" t="inlineStr">
        <is>
          <t>创业板人工智能</t>
        </is>
      </c>
      <c r="D3" s="68" t="n">
        <v>73.59999999999999</v>
      </c>
      <c r="E3" s="44" t="n">
        <v>0.341</v>
      </c>
      <c r="F3" s="44" t="n">
        <v>0.58</v>
      </c>
      <c r="G3" s="44" t="n">
        <v>0.474</v>
      </c>
      <c r="H3" s="45" t="n">
        <v>10.96</v>
      </c>
      <c r="I3" s="46" t="n">
        <v>0.005</v>
      </c>
      <c r="J3" s="44" t="n">
        <v>0.04</v>
      </c>
      <c r="K3" s="19" t="inlineStr">
        <is>
          <t>AI算力主线β；前十大权重含中际旭创/新易盛/天孚通信/润泽科技</t>
        </is>
      </c>
    </row>
    <row r="4" ht="36" customHeight="1">
      <c r="A4" s="42" t="inlineStr">
        <is>
          <t>588200.SH</t>
        </is>
      </c>
      <c r="B4" s="42" t="inlineStr">
        <is>
          <t>科创芯片ETF</t>
        </is>
      </c>
      <c r="C4" s="42" t="inlineStr">
        <is>
          <t>上证科创板芯片指数</t>
        </is>
      </c>
      <c r="D4" s="43" t="n">
        <v>493</v>
      </c>
      <c r="E4" s="44" t="n">
        <v>0.413</v>
      </c>
      <c r="F4" s="44" t="n">
        <v>0.47</v>
      </c>
      <c r="G4" s="44" t="n">
        <v>1.464</v>
      </c>
      <c r="H4" s="45" t="n">
        <v>35.29</v>
      </c>
      <c r="I4" s="46" t="n">
        <v>0.005</v>
      </c>
      <c r="J4" s="44" t="n">
        <v>0.04</v>
      </c>
      <c r="K4" s="19" t="inlineStr">
        <is>
          <t>国产链+存储+AI芯片综合β；流动性最佳；含寒武纪/海光/中芯/澜起</t>
        </is>
      </c>
    </row>
    <row r="5" ht="36" customHeight="1">
      <c r="A5" s="42" t="inlineStr">
        <is>
          <t>159755.SZ</t>
        </is>
      </c>
      <c r="B5" s="42" t="inlineStr">
        <is>
          <t>电池ETF</t>
        </is>
      </c>
      <c r="C5" s="42" t="inlineStr">
        <is>
          <t>国证新能源车电池</t>
        </is>
      </c>
      <c r="D5" s="68" t="n">
        <v>162.47</v>
      </c>
      <c r="E5" s="46" t="n">
        <v>0.128</v>
      </c>
      <c r="F5" s="46" t="n">
        <v>0.1186</v>
      </c>
      <c r="G5" s="46" t="n">
        <v>0.7467</v>
      </c>
      <c r="H5" s="45" t="n">
        <v>112.5</v>
      </c>
      <c r="I5" s="46" t="n">
        <v>0.005</v>
      </c>
      <c r="J5" s="44" t="n">
        <v>0.03</v>
      </c>
      <c r="K5" s="19" t="inlineStr">
        <is>
          <t>锂电链β工具；正极/负极/电解液/隔膜综合敞口</t>
        </is>
      </c>
    </row>
    <row r="6" ht="36" customHeight="1">
      <c r="A6" s="42" t="inlineStr">
        <is>
          <t>159611.SZ</t>
        </is>
      </c>
      <c r="B6" s="42" t="inlineStr">
        <is>
          <t>电力ETF</t>
        </is>
      </c>
      <c r="C6" s="42" t="inlineStr">
        <is>
          <t>中证全指电力公用事业</t>
        </is>
      </c>
      <c r="D6" s="68" t="n">
        <v>74.39</v>
      </c>
      <c r="E6" s="46" t="n">
        <v>0.1758</v>
      </c>
      <c r="F6" s="46" t="n">
        <v>0.0868</v>
      </c>
      <c r="G6" s="46" t="n">
        <v>0.2134</v>
      </c>
      <c r="H6" s="45" t="n">
        <v>50.4</v>
      </c>
      <c r="I6" s="46" t="n">
        <v>0.005</v>
      </c>
      <c r="J6" s="44" t="n">
        <v>0.04</v>
      </c>
      <c r="K6" s="19" t="inlineStr">
        <is>
          <t>防御性、利率敏感、红利；含核电+绿电运营</t>
        </is>
      </c>
    </row>
    <row r="7">
      <c r="A7" s="10" t="n"/>
      <c r="B7" s="10" t="inlineStr">
        <is>
          <t>ETF合计</t>
        </is>
      </c>
      <c r="C7" s="10" t="n"/>
      <c r="D7" s="10" t="n"/>
      <c r="E7" s="10" t="n"/>
      <c r="F7" s="10" t="n"/>
      <c r="G7" s="10" t="n"/>
      <c r="H7" s="10" t="n"/>
      <c r="I7" s="10" t="n"/>
      <c r="J7" s="11">
        <f>SUM(J3:J6)</f>
        <v/>
      </c>
      <c r="K7" s="10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30" customWidth="1" min="12" max="12"/>
  </cols>
  <sheetData>
    <row r="1" ht="26" customHeight="1">
      <c r="A1" s="23" t="inlineStr">
        <is>
          <t>仓位计算器 · 改变 D1 总资金即可联动所有股数与金额</t>
        </is>
      </c>
    </row>
    <row r="2">
      <c r="B2" s="47" t="inlineStr">
        <is>
          <t>总资金（元）</t>
        </is>
      </c>
      <c r="C2" s="48" t="n">
        <v>1000000</v>
      </c>
      <c r="D2" s="49" t="inlineStr">
        <is>
          <t>⇐ 黄色单元格可编辑（默认 100 万元）</t>
        </is>
      </c>
    </row>
    <row r="4" ht="36" customHeight="1">
      <c r="A4" s="6" t="inlineStr">
        <is>
          <t>序号</t>
        </is>
      </c>
      <c r="B4" s="6" t="inlineStr">
        <is>
          <t>代码</t>
        </is>
      </c>
      <c r="C4" s="6" t="inlineStr">
        <is>
          <t>名称</t>
        </is>
      </c>
      <c r="D4" s="6" t="inlineStr">
        <is>
          <t>板块</t>
        </is>
      </c>
      <c r="E4" s="6" t="inlineStr">
        <is>
          <t>类型</t>
        </is>
      </c>
      <c r="F4" s="6" t="inlineStr">
        <is>
          <t>当前价
(2026/05/12)</t>
        </is>
      </c>
      <c r="G4" s="6" t="inlineStr">
        <is>
          <t>目标权重(%)</t>
        </is>
      </c>
      <c r="H4" s="6" t="inlineStr">
        <is>
          <t>投入金额(元)</t>
        </is>
      </c>
      <c r="I4" s="6" t="inlineStr">
        <is>
          <t>建议股数
(按手取整)</t>
        </is>
      </c>
      <c r="J4" s="6" t="inlineStr">
        <is>
          <t>实际投入(元)</t>
        </is>
      </c>
      <c r="K4" s="6" t="inlineStr">
        <is>
          <t>实际占比%</t>
        </is>
      </c>
      <c r="L4" s="6" t="inlineStr">
        <is>
          <t>备注</t>
        </is>
      </c>
    </row>
    <row r="5">
      <c r="A5" s="50" t="n">
        <v>1</v>
      </c>
      <c r="B5" s="50" t="inlineStr">
        <is>
          <t>601138.SH</t>
        </is>
      </c>
      <c r="C5" s="51" t="inlineStr">
        <is>
          <t>工业富联</t>
        </is>
      </c>
      <c r="D5" s="50" t="inlineStr">
        <is>
          <t>AI算力</t>
        </is>
      </c>
      <c r="E5" s="50" t="inlineStr">
        <is>
          <t>个股</t>
        </is>
      </c>
      <c r="F5" s="52" t="n">
        <v>64.40000000000001</v>
      </c>
      <c r="G5" s="53" t="n">
        <v>0.15</v>
      </c>
      <c r="H5" s="27">
        <f>$C$2*G5</f>
        <v/>
      </c>
      <c r="I5" s="27">
        <f>IF(ISNUMBER(F5),FLOOR(H5/F5/100,1)*100,"")</f>
        <v/>
      </c>
      <c r="J5" s="27">
        <f>IF(ISNUMBER(F5),I5*F5,"")</f>
        <v/>
      </c>
      <c r="K5" s="29">
        <f>IF(ISNUMBER(F5),J5/$C$2,"")</f>
        <v/>
      </c>
      <c r="L5" s="54" t="inlineStr"/>
    </row>
    <row r="6">
      <c r="A6" s="50" t="n">
        <v>2</v>
      </c>
      <c r="B6" s="50" t="inlineStr">
        <is>
          <t>300750.SZ</t>
        </is>
      </c>
      <c r="C6" s="51" t="inlineStr">
        <is>
          <t>宁德时代</t>
        </is>
      </c>
      <c r="D6" s="50" t="inlineStr">
        <is>
          <t>新能源</t>
        </is>
      </c>
      <c r="E6" s="50" t="inlineStr">
        <is>
          <t>个股</t>
        </is>
      </c>
      <c r="F6" s="52" t="n">
        <v>431.25</v>
      </c>
      <c r="G6" s="53" t="n">
        <v>0.1</v>
      </c>
      <c r="H6" s="27">
        <f>$C$2*G6</f>
        <v/>
      </c>
      <c r="I6" s="27">
        <f>IF(ISNUMBER(F6),FLOOR(H6/F6/100,1)*100,"")</f>
        <v/>
      </c>
      <c r="J6" s="27">
        <f>IF(ISNUMBER(F6),I6*F6,"")</f>
        <v/>
      </c>
      <c r="K6" s="29">
        <f>IF(ISNUMBER(F6),J6/$C$2,"")</f>
        <v/>
      </c>
      <c r="L6" s="54" t="inlineStr"/>
    </row>
    <row r="7">
      <c r="A7" s="50" t="n">
        <v>3</v>
      </c>
      <c r="B7" s="50" t="inlineStr">
        <is>
          <t>002463.SZ</t>
        </is>
      </c>
      <c r="C7" s="51" t="inlineStr">
        <is>
          <t>沪电股份</t>
        </is>
      </c>
      <c r="D7" s="50" t="inlineStr">
        <is>
          <t>AI算力</t>
        </is>
      </c>
      <c r="E7" s="50" t="inlineStr">
        <is>
          <t>个股</t>
        </is>
      </c>
      <c r="F7" s="52" t="n">
        <v>108.7</v>
      </c>
      <c r="G7" s="53" t="n">
        <v>0.08</v>
      </c>
      <c r="H7" s="27">
        <f>$C$2*G7</f>
        <v/>
      </c>
      <c r="I7" s="27">
        <f>IF(ISNUMBER(F7),FLOOR(H7/F7/100,1)*100,"")</f>
        <v/>
      </c>
      <c r="J7" s="27">
        <f>IF(ISNUMBER(F7),I7*F7,"")</f>
        <v/>
      </c>
      <c r="K7" s="29">
        <f>IF(ISNUMBER(F7),J7/$C$2,"")</f>
        <v/>
      </c>
      <c r="L7" s="54" t="inlineStr"/>
    </row>
    <row r="8">
      <c r="A8" s="50" t="n">
        <v>4</v>
      </c>
      <c r="B8" s="50" t="inlineStr">
        <is>
          <t>688008.SH</t>
        </is>
      </c>
      <c r="C8" s="51" t="inlineStr">
        <is>
          <t>澜起科技</t>
        </is>
      </c>
      <c r="D8" s="50" t="inlineStr">
        <is>
          <t>AI算力/存储</t>
        </is>
      </c>
      <c r="E8" s="50" t="inlineStr">
        <is>
          <t>个股</t>
        </is>
      </c>
      <c r="F8" s="69" t="n">
        <v>240.7</v>
      </c>
      <c r="G8" s="53" t="n">
        <v>0.08</v>
      </c>
      <c r="H8" s="27">
        <f>$C$2*G8</f>
        <v/>
      </c>
      <c r="I8" s="27">
        <f>IF(ISNUMBER(F8),FLOOR(H8/F8/100,1)*100,"")</f>
        <v/>
      </c>
      <c r="J8" s="27">
        <f>IF(ISNUMBER(F8),I8*F8,"")</f>
        <v/>
      </c>
      <c r="K8" s="29">
        <f>IF(ISNUMBER(F8),J8/$C$2,"")</f>
        <v/>
      </c>
      <c r="L8" s="54" t="inlineStr">
        <is>
          <t>已补 2026/05/12 收盘价</t>
        </is>
      </c>
    </row>
    <row r="9">
      <c r="A9" s="50" t="n">
        <v>5</v>
      </c>
      <c r="B9" s="50" t="inlineStr">
        <is>
          <t>603986.SH</t>
        </is>
      </c>
      <c r="C9" s="51" t="inlineStr">
        <is>
          <t>兆易创新</t>
        </is>
      </c>
      <c r="D9" s="50" t="inlineStr">
        <is>
          <t>半导体存储</t>
        </is>
      </c>
      <c r="E9" s="50" t="inlineStr">
        <is>
          <t>个股</t>
        </is>
      </c>
      <c r="F9" s="69" t="n">
        <v>353.55</v>
      </c>
      <c r="G9" s="53" t="n">
        <v>0.07000000000000001</v>
      </c>
      <c r="H9" s="27">
        <f>$C$2*G9</f>
        <v/>
      </c>
      <c r="I9" s="27">
        <f>IF(ISNUMBER(F9),FLOOR(H9/F9/100,1)*100,"")</f>
        <v/>
      </c>
      <c r="J9" s="27">
        <f>IF(ISNUMBER(F9),I9*F9,"")</f>
        <v/>
      </c>
      <c r="K9" s="29">
        <f>IF(ISNUMBER(F9),J9/$C$2,"")</f>
        <v/>
      </c>
      <c r="L9" s="54" t="inlineStr">
        <is>
          <t>已补 2026/05/12 收盘价</t>
        </is>
      </c>
    </row>
    <row r="10">
      <c r="A10" s="55" t="n">
        <v>6</v>
      </c>
      <c r="B10" s="55" t="inlineStr">
        <is>
          <t>601985.SH</t>
        </is>
      </c>
      <c r="C10" s="56" t="inlineStr">
        <is>
          <t>中国核电</t>
        </is>
      </c>
      <c r="D10" s="55" t="inlineStr">
        <is>
          <t>新能源(防御)</t>
        </is>
      </c>
      <c r="E10" s="55" t="inlineStr">
        <is>
          <t>个股</t>
        </is>
      </c>
      <c r="F10" s="52" t="n">
        <v>9.23</v>
      </c>
      <c r="G10" s="53" t="n">
        <v>0.07000000000000001</v>
      </c>
      <c r="H10" s="33">
        <f>$C$2*G10</f>
        <v/>
      </c>
      <c r="I10" s="33">
        <f>IF(ISNUMBER(F10),FLOOR(H10/F10/100,1)*100,"")</f>
        <v/>
      </c>
      <c r="J10" s="33">
        <f>IF(ISNUMBER(F10),I10*F10,"")</f>
        <v/>
      </c>
      <c r="K10" s="35">
        <f>IF(ISNUMBER(F10),J10/$C$2,"")</f>
        <v/>
      </c>
      <c r="L10" s="57" t="inlineStr"/>
    </row>
    <row r="11">
      <c r="A11" s="58" t="n">
        <v>7</v>
      </c>
      <c r="B11" s="58" t="inlineStr">
        <is>
          <t>688525.SH</t>
        </is>
      </c>
      <c r="C11" s="59" t="inlineStr">
        <is>
          <t>佰维存储</t>
        </is>
      </c>
      <c r="D11" s="58" t="inlineStr">
        <is>
          <t>半导体存储</t>
        </is>
      </c>
      <c r="E11" s="58" t="inlineStr">
        <is>
          <t>个股</t>
        </is>
      </c>
      <c r="F11" s="69" t="n">
        <v>308.97</v>
      </c>
      <c r="G11" s="53" t="n">
        <v>0.06</v>
      </c>
      <c r="H11" s="39">
        <f>$C$2*G11</f>
        <v/>
      </c>
      <c r="I11" s="39">
        <f>IF(ISNUMBER(F11),FLOOR(H11/F11/100,1)*100,"")</f>
        <v/>
      </c>
      <c r="J11" s="39">
        <f>IF(ISNUMBER(F11),I11*F11,"")</f>
        <v/>
      </c>
      <c r="K11" s="41">
        <f>IF(ISNUMBER(F11),J11/$C$2,"")</f>
        <v/>
      </c>
      <c r="L11" s="60" t="inlineStr">
        <is>
          <t>已补 2026/05/12 收盘价</t>
        </is>
      </c>
    </row>
    <row r="12">
      <c r="A12" s="58" t="n">
        <v>8</v>
      </c>
      <c r="B12" s="58" t="inlineStr">
        <is>
          <t>300308.SZ</t>
        </is>
      </c>
      <c r="C12" s="59" t="inlineStr">
        <is>
          <t>中际旭创</t>
        </is>
      </c>
      <c r="D12" s="58" t="inlineStr">
        <is>
          <t>AI算力</t>
        </is>
      </c>
      <c r="E12" s="58" t="inlineStr">
        <is>
          <t>个股</t>
        </is>
      </c>
      <c r="F12" s="52" t="n">
        <v>1018</v>
      </c>
      <c r="G12" s="53" t="n">
        <v>0.06</v>
      </c>
      <c r="H12" s="39">
        <f>$C$2*G12</f>
        <v/>
      </c>
      <c r="I12" s="39">
        <f>IF(ISNUMBER(F12),FLOOR(H12/F12/100,1)*100,"")</f>
        <v/>
      </c>
      <c r="J12" s="39">
        <f>IF(ISNUMBER(F12),I12*F12,"")</f>
        <v/>
      </c>
      <c r="K12" s="41">
        <f>IF(ISNUMBER(F12),J12/$C$2,"")</f>
        <v/>
      </c>
      <c r="L12" s="60" t="inlineStr"/>
    </row>
    <row r="13">
      <c r="A13" s="58" t="n">
        <v>9</v>
      </c>
      <c r="B13" s="58" t="inlineStr">
        <is>
          <t>688041.SH</t>
        </is>
      </c>
      <c r="C13" s="59" t="inlineStr">
        <is>
          <t>海光信息</t>
        </is>
      </c>
      <c r="D13" s="58" t="inlineStr">
        <is>
          <t>AI算力(国产)</t>
        </is>
      </c>
      <c r="E13" s="58" t="inlineStr">
        <is>
          <t>个股</t>
        </is>
      </c>
      <c r="F13" s="52" t="n">
        <v>349.2</v>
      </c>
      <c r="G13" s="53" t="n">
        <v>0.05</v>
      </c>
      <c r="H13" s="39">
        <f>$C$2*G13</f>
        <v/>
      </c>
      <c r="I13" s="39">
        <f>IF(ISNUMBER(F13),FLOOR(H13/F13/100,1)*100,"")</f>
        <v/>
      </c>
      <c r="J13" s="39">
        <f>IF(ISNUMBER(F13),I13*F13,"")</f>
        <v/>
      </c>
      <c r="K13" s="41">
        <f>IF(ISNUMBER(F13),J13/$C$2,"")</f>
        <v/>
      </c>
      <c r="L13" s="60" t="inlineStr"/>
    </row>
    <row r="14">
      <c r="A14" s="58" t="n">
        <v>10</v>
      </c>
      <c r="B14" s="58" t="inlineStr">
        <is>
          <t>002837.SZ</t>
        </is>
      </c>
      <c r="C14" s="59" t="inlineStr">
        <is>
          <t>英维克</t>
        </is>
      </c>
      <c r="D14" s="58" t="inlineStr">
        <is>
          <t>AI算力(液冷)</t>
        </is>
      </c>
      <c r="E14" s="58" t="inlineStr">
        <is>
          <t>个股</t>
        </is>
      </c>
      <c r="F14" s="52" t="n">
        <v>100</v>
      </c>
      <c r="G14" s="53" t="n">
        <v>0.05</v>
      </c>
      <c r="H14" s="39">
        <f>$C$2*G14</f>
        <v/>
      </c>
      <c r="I14" s="39">
        <f>IF(ISNUMBER(F14),FLOOR(H14/F14/100,1)*100,"")</f>
        <v/>
      </c>
      <c r="J14" s="39">
        <f>IF(ISNUMBER(F14),I14*F14,"")</f>
        <v/>
      </c>
      <c r="K14" s="41">
        <f>IF(ISNUMBER(F14),J14/$C$2,"")</f>
        <v/>
      </c>
      <c r="L14" s="60" t="inlineStr"/>
    </row>
    <row r="15">
      <c r="A15" s="58" t="n">
        <v>11</v>
      </c>
      <c r="B15" s="58" t="inlineStr">
        <is>
          <t>603606.SH</t>
        </is>
      </c>
      <c r="C15" s="59" t="inlineStr">
        <is>
          <t>东方电缆</t>
        </is>
      </c>
      <c r="D15" s="58" t="inlineStr">
        <is>
          <t>新能源(海风)</t>
        </is>
      </c>
      <c r="E15" s="58" t="inlineStr">
        <is>
          <t>个股</t>
        </is>
      </c>
      <c r="F15" s="52" t="n">
        <v>62.07</v>
      </c>
      <c r="G15" s="53" t="n">
        <v>0.04</v>
      </c>
      <c r="H15" s="39">
        <f>$C$2*G15</f>
        <v/>
      </c>
      <c r="I15" s="39">
        <f>IF(ISNUMBER(F15),FLOOR(H15/F15/100,1)*100,"")</f>
        <v/>
      </c>
      <c r="J15" s="39">
        <f>IF(ISNUMBER(F15),I15*F15,"")</f>
        <v/>
      </c>
      <c r="K15" s="41">
        <f>IF(ISNUMBER(F15),J15/$C$2,"")</f>
        <v/>
      </c>
      <c r="L15" s="60" t="inlineStr"/>
    </row>
    <row r="16">
      <c r="A16" s="58" t="n">
        <v>12</v>
      </c>
      <c r="B16" s="58" t="inlineStr">
        <is>
          <t>002487.SZ</t>
        </is>
      </c>
      <c r="C16" s="59" t="inlineStr">
        <is>
          <t>大金重工</t>
        </is>
      </c>
      <c r="D16" s="58" t="inlineStr">
        <is>
          <t>新能源(海风)</t>
        </is>
      </c>
      <c r="E16" s="58" t="inlineStr">
        <is>
          <t>个股</t>
        </is>
      </c>
      <c r="F16" s="52" t="n">
        <v>83.20999999999999</v>
      </c>
      <c r="G16" s="53" t="n">
        <v>0.04</v>
      </c>
      <c r="H16" s="39">
        <f>$C$2*G16</f>
        <v/>
      </c>
      <c r="I16" s="39">
        <f>IF(ISNUMBER(F16),FLOOR(H16/F16/100,1)*100,"")</f>
        <v/>
      </c>
      <c r="J16" s="39">
        <f>IF(ISNUMBER(F16),I16*F16,"")</f>
        <v/>
      </c>
      <c r="K16" s="41">
        <f>IF(ISNUMBER(F16),J16/$C$2,"")</f>
        <v/>
      </c>
      <c r="L16" s="60" t="inlineStr"/>
    </row>
    <row r="17">
      <c r="A17" s="61" t="n">
        <v>13</v>
      </c>
      <c r="B17" s="61" t="inlineStr">
        <is>
          <t>159363.SZ</t>
        </is>
      </c>
      <c r="C17" s="62" t="inlineStr">
        <is>
          <t>算力ETF基金</t>
        </is>
      </c>
      <c r="D17" s="61" t="inlineStr">
        <is>
          <t>ETF</t>
        </is>
      </c>
      <c r="E17" s="61" t="inlineStr">
        <is>
          <t>ETF</t>
        </is>
      </c>
      <c r="F17" s="70" t="n">
        <v>1.368</v>
      </c>
      <c r="G17" s="53" t="n">
        <v>0.04</v>
      </c>
      <c r="H17" s="63">
        <f>$C$2*G17</f>
        <v/>
      </c>
      <c r="I17" s="63">
        <f>IF(ISNUMBER(F17),FLOOR(H17/F17/100,1)*100,"")</f>
        <v/>
      </c>
      <c r="J17" s="63">
        <f>IF(ISNUMBER(F17),I17*F17,"")</f>
        <v/>
      </c>
      <c r="K17" s="44">
        <f>IF(ISNUMBER(F17),J17/$C$2,"")</f>
        <v/>
      </c>
      <c r="L17" s="64" t="inlineStr">
        <is>
          <t>已补 2026/05/12 NAV</t>
        </is>
      </c>
    </row>
    <row r="18">
      <c r="A18" s="61" t="n">
        <v>14</v>
      </c>
      <c r="B18" s="61" t="inlineStr">
        <is>
          <t>588200.SH</t>
        </is>
      </c>
      <c r="C18" s="62" t="inlineStr">
        <is>
          <t>科创芯片ETF</t>
        </is>
      </c>
      <c r="D18" s="61" t="inlineStr">
        <is>
          <t>ETF</t>
        </is>
      </c>
      <c r="E18" s="61" t="inlineStr">
        <is>
          <t>ETF</t>
        </is>
      </c>
      <c r="F18" s="70" t="n">
        <v>3.467</v>
      </c>
      <c r="G18" s="53" t="n">
        <v>0.04</v>
      </c>
      <c r="H18" s="63">
        <f>$C$2*G18</f>
        <v/>
      </c>
      <c r="I18" s="63">
        <f>IF(ISNUMBER(F18),FLOOR(H18/F18/100,1)*100,"")</f>
        <v/>
      </c>
      <c r="J18" s="63">
        <f>IF(ISNUMBER(F18),I18*F18,"")</f>
        <v/>
      </c>
      <c r="K18" s="44">
        <f>IF(ISNUMBER(F18),J18/$C$2,"")</f>
        <v/>
      </c>
      <c r="L18" s="64" t="inlineStr">
        <is>
          <t>已补 2026/05/12 NAV</t>
        </is>
      </c>
    </row>
    <row r="19">
      <c r="A19" s="61" t="n">
        <v>15</v>
      </c>
      <c r="B19" s="61" t="inlineStr">
        <is>
          <t>159755.SZ</t>
        </is>
      </c>
      <c r="C19" s="62" t="inlineStr">
        <is>
          <t>电池ETF</t>
        </is>
      </c>
      <c r="D19" s="61" t="inlineStr">
        <is>
          <t>ETF</t>
        </is>
      </c>
      <c r="E19" s="61" t="inlineStr">
        <is>
          <t>ETF</t>
        </is>
      </c>
      <c r="F19" s="70" t="n">
        <v>1.207</v>
      </c>
      <c r="G19" s="53" t="n">
        <v>0.03</v>
      </c>
      <c r="H19" s="63">
        <f>$C$2*G19</f>
        <v/>
      </c>
      <c r="I19" s="63">
        <f>IF(ISNUMBER(F19),FLOOR(H19/F19/100,1)*100,"")</f>
        <v/>
      </c>
      <c r="J19" s="63">
        <f>IF(ISNUMBER(F19),I19*F19,"")</f>
        <v/>
      </c>
      <c r="K19" s="44">
        <f>IF(ISNUMBER(F19),J19/$C$2,"")</f>
        <v/>
      </c>
      <c r="L19" s="64" t="inlineStr">
        <is>
          <t>已补 2026/05/12 NAV</t>
        </is>
      </c>
    </row>
    <row r="20">
      <c r="A20" s="61" t="n">
        <v>16</v>
      </c>
      <c r="B20" s="61" t="inlineStr">
        <is>
          <t>159611.SZ</t>
        </is>
      </c>
      <c r="C20" s="62" t="inlineStr">
        <is>
          <t>电力ETF</t>
        </is>
      </c>
      <c r="D20" s="61" t="inlineStr">
        <is>
          <t>ETF</t>
        </is>
      </c>
      <c r="E20" s="61" t="inlineStr">
        <is>
          <t>ETF</t>
        </is>
      </c>
      <c r="F20" s="70" t="n">
        <v>1.177</v>
      </c>
      <c r="G20" s="53" t="n">
        <v>0.04</v>
      </c>
      <c r="H20" s="63">
        <f>$C$2*G20</f>
        <v/>
      </c>
      <c r="I20" s="63">
        <f>IF(ISNUMBER(F20),FLOOR(H20/F20/100,1)*100,"")</f>
        <v/>
      </c>
      <c r="J20" s="63">
        <f>IF(ISNUMBER(F20),I20*F20,"")</f>
        <v/>
      </c>
      <c r="K20" s="44">
        <f>IF(ISNUMBER(F20),J20/$C$2,"")</f>
        <v/>
      </c>
      <c r="L20" s="64" t="inlineStr">
        <is>
          <t>已补 2026/05/12 NAV</t>
        </is>
      </c>
    </row>
    <row r="21">
      <c r="A21" s="10" t="n"/>
      <c r="B21" s="10" t="n"/>
      <c r="C21" s="10" t="inlineStr">
        <is>
          <t>组合合计</t>
        </is>
      </c>
      <c r="D21" s="10" t="n"/>
      <c r="E21" s="10" t="n"/>
      <c r="F21" s="10" t="n"/>
      <c r="G21" s="11">
        <f>SUM(G5:G20)</f>
        <v/>
      </c>
      <c r="H21" s="65">
        <f>SUM(H5:H20)</f>
        <v/>
      </c>
      <c r="I21" s="10" t="n"/>
      <c r="J21" s="65">
        <f>SUMIF(J5:J20,"&lt;&gt;")</f>
        <v/>
      </c>
      <c r="K21" s="11">
        <f>SUMIF(K5:K20,"&lt;&gt;")</f>
        <v/>
      </c>
      <c r="L21" s="10" t="n"/>
    </row>
    <row r="23">
      <c r="B23" s="49" t="inlineStr">
        <is>
          <t>使用说明：1) 仅修改 C2 总资金、E5:F20 的当前价 与 G5:G20 权重（黄色单元格）；2) A 股一手 = 100 股，已向下取整；3) 价格已补全至 2026/05/12 收盘 / NAV。</t>
        </is>
      </c>
    </row>
  </sheetData>
  <mergeCells count="3">
    <mergeCell ref="D2:L2"/>
    <mergeCell ref="B23:L2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26" customWidth="1" min="3" max="3"/>
    <col width="12" customWidth="1" min="4" max="4"/>
    <col width="14" customWidth="1" min="5" max="5"/>
  </cols>
  <sheetData>
    <row r="1" ht="26" customHeight="1">
      <c r="A1" s="23" t="inlineStr">
        <is>
          <t>催化剂日历 · 2026/05 ~ 2027/Q1</t>
        </is>
      </c>
    </row>
    <row r="2" ht="34" customHeight="1">
      <c r="A2" s="6" t="inlineStr">
        <is>
          <t>时间窗口</t>
        </is>
      </c>
      <c r="B2" s="6" t="inlineStr">
        <is>
          <t>催化事件</t>
        </is>
      </c>
      <c r="C2" s="6" t="inlineStr">
        <is>
          <t>受益方向</t>
        </is>
      </c>
      <c r="D2" s="6" t="inlineStr">
        <is>
          <t>关注度</t>
        </is>
      </c>
      <c r="E2" s="6" t="inlineStr">
        <is>
          <t>重要级别</t>
        </is>
      </c>
    </row>
    <row r="3" ht="30" customHeight="1">
      <c r="A3" s="36" t="inlineStr">
        <is>
          <t>2026年5月底</t>
        </is>
      </c>
      <c r="B3" s="18" t="inlineStr">
        <is>
          <t>英伟达 FY2026Q1 财报；Blackwell 出货与对华业务表态</t>
        </is>
      </c>
      <c r="C3" s="36" t="inlineStr">
        <is>
          <t>AI算力(海外链)</t>
        </is>
      </c>
      <c r="D3" s="36" t="inlineStr">
        <is>
          <t>★★★★★</t>
        </is>
      </c>
      <c r="E3" s="36" t="inlineStr">
        <is>
          <t>高</t>
        </is>
      </c>
    </row>
    <row r="4" ht="30" customHeight="1">
      <c r="A4" s="36" t="inlineStr">
        <is>
          <t>2026年6月</t>
        </is>
      </c>
      <c r="B4" s="18" t="inlineStr">
        <is>
          <t>MSFT/GOOG/META/AMZN 2026 capex 中期指引（投资者日）</t>
        </is>
      </c>
      <c r="C4" s="36" t="inlineStr">
        <is>
          <t>AI算力 + 存储</t>
        </is>
      </c>
      <c r="D4" s="36" t="inlineStr">
        <is>
          <t>★★★★★</t>
        </is>
      </c>
      <c r="E4" s="36" t="inlineStr">
        <is>
          <t>高</t>
        </is>
      </c>
    </row>
    <row r="5" ht="30" customHeight="1">
      <c r="A5" s="24" t="inlineStr">
        <is>
          <t>2026年5-6月</t>
        </is>
      </c>
      <c r="B5" s="17" t="inlineStr">
        <is>
          <t>工信部光伏治理细则落地 + 组件出口退税效应显现</t>
        </is>
      </c>
      <c r="C5" s="24" t="inlineStr">
        <is>
          <t>新能源(光伏供给侧)</t>
        </is>
      </c>
      <c r="D5" s="24" t="inlineStr">
        <is>
          <t>★★★</t>
        </is>
      </c>
      <c r="E5" s="24" t="inlineStr">
        <is>
          <t>中</t>
        </is>
      </c>
    </row>
    <row r="6" ht="30" customHeight="1">
      <c r="A6" s="36" t="inlineStr">
        <is>
          <t>2026年6月</t>
        </is>
      </c>
      <c r="B6" s="18" t="inlineStr">
        <is>
          <t>TrendForce 2Q26 合约价确认（DRAM+58-63%、NAND+70-75%）</t>
        </is>
      </c>
      <c r="C6" s="36" t="inlineStr">
        <is>
          <t>半导体存储</t>
        </is>
      </c>
      <c r="D6" s="36" t="inlineStr">
        <is>
          <t>★★★★★</t>
        </is>
      </c>
      <c r="E6" s="36" t="inlineStr">
        <is>
          <t>高</t>
        </is>
      </c>
    </row>
    <row r="7" ht="30" customHeight="1">
      <c r="A7" s="36" t="inlineStr">
        <is>
          <t>2026年7月</t>
        </is>
      </c>
      <c r="B7" s="18" t="inlineStr">
        <is>
          <t>北美 CSP Q2 财报季再次确认 capex 节奏（关键节点）</t>
        </is>
      </c>
      <c r="C7" s="36" t="inlineStr">
        <is>
          <t>AI算力 + 存储</t>
        </is>
      </c>
      <c r="D7" s="36" t="inlineStr">
        <is>
          <t>★★★★★</t>
        </is>
      </c>
      <c r="E7" s="36" t="inlineStr">
        <is>
          <t>高</t>
        </is>
      </c>
    </row>
    <row r="8" ht="30" customHeight="1">
      <c r="A8" s="36" t="inlineStr">
        <is>
          <t>2026年7-8月</t>
        </is>
      </c>
      <c r="B8" s="18" t="inlineStr">
        <is>
          <t>十五五风电规划细则、海风专项工作部署</t>
        </is>
      </c>
      <c r="C8" s="36" t="inlineStr">
        <is>
          <t>新能源(海风)</t>
        </is>
      </c>
      <c r="D8" s="36" t="inlineStr">
        <is>
          <t>★★★★</t>
        </is>
      </c>
      <c r="E8" s="36" t="inlineStr">
        <is>
          <t>高</t>
        </is>
      </c>
    </row>
    <row r="9" ht="30" customHeight="1">
      <c r="A9" s="36" t="inlineStr">
        <is>
          <t>2026年8月</t>
        </is>
      </c>
      <c r="B9" s="18" t="inlineStr">
        <is>
          <t>A股 2026 半年报披露季 · 三板块业绩全面验证</t>
        </is>
      </c>
      <c r="C9" s="36" t="inlineStr">
        <is>
          <t>三板块</t>
        </is>
      </c>
      <c r="D9" s="36" t="inlineStr">
        <is>
          <t>★★★★★</t>
        </is>
      </c>
      <c r="E9" s="36" t="inlineStr">
        <is>
          <t>高</t>
        </is>
      </c>
    </row>
    <row r="10" ht="30" customHeight="1">
      <c r="A10" s="24" t="inlineStr">
        <is>
          <t>2026年8月</t>
        </is>
      </c>
      <c r="B10" s="17" t="inlineStr">
        <is>
          <t>长鑫存储 HBM 上海封装厂试产</t>
        </is>
      </c>
      <c r="C10" s="24" t="inlineStr">
        <is>
          <t>半导体存储 + 国产算力</t>
        </is>
      </c>
      <c r="D10" s="24" t="inlineStr">
        <is>
          <t>★★★★</t>
        </is>
      </c>
      <c r="E10" s="24" t="inlineStr">
        <is>
          <t>中</t>
        </is>
      </c>
    </row>
    <row r="11" ht="30" customHeight="1">
      <c r="A11" s="36" t="inlineStr">
        <is>
          <t>2026年9月</t>
        </is>
      </c>
      <c r="B11" s="18" t="inlineStr">
        <is>
          <t>英伟达 Vera Rubin 平台正式发布（HBM4 + 13TB/s）</t>
        </is>
      </c>
      <c r="C11" s="36" t="inlineStr">
        <is>
          <t>AI算力 + 光模块1.6T</t>
        </is>
      </c>
      <c r="D11" s="36" t="inlineStr">
        <is>
          <t>★★★★★</t>
        </is>
      </c>
      <c r="E11" s="36" t="inlineStr">
        <is>
          <t>高</t>
        </is>
      </c>
    </row>
    <row r="12" ht="30" customHeight="1">
      <c r="A12" s="24" t="inlineStr">
        <is>
          <t>2026年9月</t>
        </is>
      </c>
      <c r="B12" s="17" t="inlineStr">
        <is>
          <t>华为全联接大会 · 950PR 进展披露</t>
        </is>
      </c>
      <c r="C12" s="24" t="inlineStr">
        <is>
          <t>国产AI算力</t>
        </is>
      </c>
      <c r="D12" s="24" t="inlineStr">
        <is>
          <t>★★★★</t>
        </is>
      </c>
      <c r="E12" s="24" t="inlineStr">
        <is>
          <t>中</t>
        </is>
      </c>
    </row>
    <row r="13" ht="30" customHeight="1">
      <c r="A13" s="24" t="inlineStr">
        <is>
          <t>2026年9-10月</t>
        </is>
      </c>
      <c r="B13" s="17" t="inlineStr">
        <is>
          <t>北京风能展 + 行业宣言更新</t>
        </is>
      </c>
      <c r="C13" s="24" t="inlineStr">
        <is>
          <t>新能源(风电)</t>
        </is>
      </c>
      <c r="D13" s="24" t="inlineStr">
        <is>
          <t>★★★</t>
        </is>
      </c>
      <c r="E13" s="24" t="inlineStr">
        <is>
          <t>中</t>
        </is>
      </c>
    </row>
    <row r="14" ht="30" customHeight="1">
      <c r="A14" s="24" t="inlineStr">
        <is>
          <t>2026年10月</t>
        </is>
      </c>
      <c r="B14" s="17" t="inlineStr">
        <is>
          <t>新一轮核电机组核准（10+台）</t>
        </is>
      </c>
      <c r="C14" s="24" t="inlineStr">
        <is>
          <t>新能源(核电)</t>
        </is>
      </c>
      <c r="D14" s="24" t="inlineStr">
        <is>
          <t>★★★★</t>
        </is>
      </c>
      <c r="E14" s="24" t="inlineStr">
        <is>
          <t>中</t>
        </is>
      </c>
    </row>
    <row r="15" ht="30" customHeight="1">
      <c r="A15" s="36" t="inlineStr">
        <is>
          <t>2026年11月</t>
        </is>
      </c>
      <c r="B15" s="18" t="inlineStr">
        <is>
          <t>北美 CSP 2027 capex 指引（市场最大不确定性 / 决定性窗口）</t>
        </is>
      </c>
      <c r="C15" s="36" t="inlineStr">
        <is>
          <t>AI算力(主线)</t>
        </is>
      </c>
      <c r="D15" s="36" t="inlineStr">
        <is>
          <t>★★★★★</t>
        </is>
      </c>
      <c r="E15" s="36" t="inlineStr">
        <is>
          <t>高</t>
        </is>
      </c>
    </row>
    <row r="16" ht="30" customHeight="1">
      <c r="A16" s="24" t="inlineStr">
        <is>
          <t>2026年11月</t>
        </is>
      </c>
      <c r="B16" s="17" t="inlineStr">
        <is>
          <t>A股 2026 Q3报披露</t>
        </is>
      </c>
      <c r="C16" s="24" t="inlineStr">
        <is>
          <t>三板块</t>
        </is>
      </c>
      <c r="D16" s="24" t="inlineStr">
        <is>
          <t>★★★★</t>
        </is>
      </c>
      <c r="E16" s="24" t="inlineStr">
        <is>
          <t>中</t>
        </is>
      </c>
    </row>
    <row r="17" ht="30" customHeight="1">
      <c r="A17" s="36" t="inlineStr">
        <is>
          <t>2026年12月</t>
        </is>
      </c>
      <c r="B17" s="18" t="inlineStr">
        <is>
          <t>H200 政策最终落地 / 昇腾 950PR 量产时间敲定</t>
        </is>
      </c>
      <c r="C17" s="36" t="inlineStr">
        <is>
          <t>AI算力(海外vs国产)</t>
        </is>
      </c>
      <c r="D17" s="36" t="inlineStr">
        <is>
          <t>★★★★★</t>
        </is>
      </c>
      <c r="E17" s="36" t="inlineStr">
        <is>
          <t>高</t>
        </is>
      </c>
    </row>
    <row r="18" ht="30" customHeight="1">
      <c r="A18" s="24" t="inlineStr">
        <is>
          <t>2026年Q4</t>
        </is>
      </c>
      <c r="B18" s="17" t="inlineStr">
        <is>
          <t>央国企组件年度集采放量 + 欧洲海风订单兑现</t>
        </is>
      </c>
      <c r="C18" s="24" t="inlineStr">
        <is>
          <t>新能源(组件/海缆)</t>
        </is>
      </c>
      <c r="D18" s="24" t="inlineStr">
        <is>
          <t>★★★</t>
        </is>
      </c>
      <c r="E18" s="24" t="inlineStr">
        <is>
          <t>中</t>
        </is>
      </c>
    </row>
    <row r="19" ht="30" customHeight="1">
      <c r="A19" s="24" t="inlineStr">
        <is>
          <t>2026年Q4</t>
        </is>
      </c>
      <c r="B19" s="17" t="inlineStr">
        <is>
          <t>NAND Flash 价格新高确认（eSSD 缺口持续）</t>
        </is>
      </c>
      <c r="C19" s="24" t="inlineStr">
        <is>
          <t>半导体存储</t>
        </is>
      </c>
      <c r="D19" s="24" t="inlineStr">
        <is>
          <t>★★★★</t>
        </is>
      </c>
      <c r="E19" s="24" t="inlineStr">
        <is>
          <t>中</t>
        </is>
      </c>
    </row>
    <row r="20" ht="30" customHeight="1">
      <c r="A20" s="36" t="inlineStr">
        <is>
          <t>2027年Q1</t>
        </is>
      </c>
      <c r="B20" s="18" t="inlineStr">
        <is>
          <t>HBM4 正式量产；DDR4 全面停产；存储周期顶部观察期</t>
        </is>
      </c>
      <c r="C20" s="36" t="inlineStr">
        <is>
          <t>半导体存储</t>
        </is>
      </c>
      <c r="D20" s="36" t="inlineStr">
        <is>
          <t>★★★★★</t>
        </is>
      </c>
      <c r="E20" s="36" t="inlineStr">
        <is>
          <t>高</t>
        </is>
      </c>
    </row>
    <row r="21" ht="30" customHeight="1">
      <c r="A21" s="24" t="inlineStr">
        <is>
          <t>2027年Q1</t>
        </is>
      </c>
      <c r="B21" s="17" t="inlineStr">
        <is>
          <t>中国 十五五 AI算力规划细则落地</t>
        </is>
      </c>
      <c r="C21" s="24" t="inlineStr">
        <is>
          <t>AI算力(国产链)</t>
        </is>
      </c>
      <c r="D21" s="24" t="inlineStr">
        <is>
          <t>★★★★</t>
        </is>
      </c>
      <c r="E21" s="24" t="inlineStr">
        <is>
          <t>中</t>
        </is>
      </c>
    </row>
    <row r="22" ht="30" customHeight="1">
      <c r="A22" s="24" t="inlineStr">
        <is>
          <t>2027年Q1</t>
        </is>
      </c>
      <c r="B22" s="17" t="inlineStr">
        <is>
          <t>AIDC 储能 587Ah 电芯放量；宁王扩产兑现</t>
        </is>
      </c>
      <c r="C22" s="24" t="inlineStr">
        <is>
          <t>新能源(储能)</t>
        </is>
      </c>
      <c r="D22" s="24" t="inlineStr">
        <is>
          <t>★★★★</t>
        </is>
      </c>
      <c r="E22" s="24" t="inlineStr">
        <is>
          <t>中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8" customWidth="1" min="3" max="3"/>
    <col width="12" customWidth="1" min="4" max="4"/>
    <col width="30" customWidth="1" min="5" max="5"/>
  </cols>
  <sheetData>
    <row r="1" ht="26" customHeight="1">
      <c r="A1" s="23" t="inlineStr">
        <is>
          <t>再平衡触发器 · 动态调仓信号</t>
        </is>
      </c>
    </row>
    <row r="2" ht="34" customHeight="1">
      <c r="A2" s="6" t="inlineStr">
        <is>
          <t>触发条件</t>
        </is>
      </c>
      <c r="B2" s="6" t="inlineStr">
        <is>
          <t>调仓动作</t>
        </is>
      </c>
      <c r="C2" s="6" t="inlineStr">
        <is>
          <t>影响板块</t>
        </is>
      </c>
      <c r="D2" s="6" t="inlineStr">
        <is>
          <t>优先级</t>
        </is>
      </c>
      <c r="E2" s="6" t="inlineStr">
        <is>
          <t>备注</t>
        </is>
      </c>
    </row>
    <row r="3" ht="32" customHeight="1">
      <c r="A3" s="18" t="inlineStr">
        <is>
          <t>北美CSP 2026Q3财报capex指引下修 &gt; 10%</t>
        </is>
      </c>
      <c r="B3" s="18" t="inlineStr">
        <is>
          <t>AI算力减仓 5%，转入新能源/防御</t>
        </is>
      </c>
      <c r="C3" s="36" t="inlineStr">
        <is>
          <t>AI算力 → 新能源</t>
        </is>
      </c>
      <c r="D3" s="36" t="inlineStr">
        <is>
          <t>高</t>
        </is>
      </c>
      <c r="E3" s="18" t="inlineStr">
        <is>
          <t>组合层面方向性切换</t>
        </is>
      </c>
    </row>
    <row r="4" ht="32" customHeight="1">
      <c r="A4" s="17" t="inlineStr">
        <is>
          <t>工业富联 PE_TTM &gt; 40x（当前 31x）</t>
        </is>
      </c>
      <c r="B4" s="17" t="inlineStr">
        <is>
          <t>工业富联减半，转入英维克或科创芯片ETF</t>
        </is>
      </c>
      <c r="C4" s="24" t="inlineStr">
        <is>
          <t>AI算力</t>
        </is>
      </c>
      <c r="D4" s="24" t="inlineStr">
        <is>
          <t>中</t>
        </is>
      </c>
      <c r="E4" s="17" t="inlineStr">
        <is>
          <t>单标的估值触发</t>
        </is>
      </c>
    </row>
    <row r="5" ht="32" customHeight="1">
      <c r="A5" s="17" t="inlineStr">
        <is>
          <t>中际旭创出现 &gt; 30% 回调</t>
        </is>
      </c>
      <c r="B5" s="17" t="inlineStr">
        <is>
          <t>加仓 5%</t>
        </is>
      </c>
      <c r="C5" s="24" t="inlineStr">
        <is>
          <t>AI算力</t>
        </is>
      </c>
      <c r="D5" s="24" t="inlineStr">
        <is>
          <t>中</t>
        </is>
      </c>
      <c r="E5" s="17" t="inlineStr">
        <is>
          <t>估值修复机会</t>
        </is>
      </c>
    </row>
    <row r="6" ht="32" customHeight="1">
      <c r="A6" s="17" t="inlineStr">
        <is>
          <t>碳酸锂跌破 10 万元/吨</t>
        </is>
      </c>
      <c r="B6" s="17" t="inlineStr">
        <is>
          <t>加仓宁德时代 + 电池ETF 合计 5%</t>
        </is>
      </c>
      <c r="C6" s="24" t="inlineStr">
        <is>
          <t>新能源(电池)</t>
        </is>
      </c>
      <c r="D6" s="24" t="inlineStr">
        <is>
          <t>中</t>
        </is>
      </c>
      <c r="E6" s="17" t="inlineStr">
        <is>
          <t>成本端利好龙头</t>
        </is>
      </c>
    </row>
    <row r="7" ht="32" customHeight="1">
      <c r="A7" s="17" t="inlineStr">
        <is>
          <t>长鑫 HBM 封装厂超预期投产公告</t>
        </is>
      </c>
      <c r="B7" s="17" t="inlineStr">
        <is>
          <t>加仓通富微电 3%（新建仓）</t>
        </is>
      </c>
      <c r="C7" s="24" t="inlineStr">
        <is>
          <t>半导体存储</t>
        </is>
      </c>
      <c r="D7" s="24" t="inlineStr">
        <is>
          <t>中</t>
        </is>
      </c>
      <c r="E7" s="17" t="inlineStr">
        <is>
          <t>国产化里程碑</t>
        </is>
      </c>
    </row>
    <row r="8" ht="32" customHeight="1">
      <c r="A8" s="17" t="inlineStr">
        <is>
          <t>寒武纪 / 海光 PE 回落至 150x</t>
        </is>
      </c>
      <c r="B8" s="17" t="inlineStr">
        <is>
          <t>加仓 3%</t>
        </is>
      </c>
      <c r="C8" s="24" t="inlineStr">
        <is>
          <t>AI算力(国产)</t>
        </is>
      </c>
      <c r="D8" s="24" t="inlineStr">
        <is>
          <t>中</t>
        </is>
      </c>
      <c r="E8" s="17" t="inlineStr">
        <is>
          <t>估值消化后买点</t>
        </is>
      </c>
    </row>
    <row r="9" ht="32" customHeight="1">
      <c r="A9" s="18" t="inlineStr">
        <is>
          <t>美国 Blackwell 禁售延续/扩大</t>
        </is>
      </c>
      <c r="B9" s="18" t="inlineStr">
        <is>
          <t>减仓中际旭创、沪电股份 5%，转入海光/英维克</t>
        </is>
      </c>
      <c r="C9" s="36" t="inlineStr">
        <is>
          <t>AI算力</t>
        </is>
      </c>
      <c r="D9" s="36" t="inlineStr">
        <is>
          <t>高</t>
        </is>
      </c>
      <c r="E9" s="18" t="inlineStr">
        <is>
          <t>结构性切换海外→国产</t>
        </is>
      </c>
    </row>
    <row r="10" ht="32" customHeight="1">
      <c r="A10" s="17" t="inlineStr">
        <is>
          <t>海风 2026 Q2 招标量超 15 GW</t>
        </is>
      </c>
      <c r="B10" s="17" t="inlineStr">
        <is>
          <t>加仓东方电缆 + 大金重工 合计 4%</t>
        </is>
      </c>
      <c r="C10" s="24" t="inlineStr">
        <is>
          <t>新能源(海风)</t>
        </is>
      </c>
      <c r="D10" s="24" t="inlineStr">
        <is>
          <t>中</t>
        </is>
      </c>
      <c r="E10" s="17" t="inlineStr">
        <is>
          <t>需求侧验证</t>
        </is>
      </c>
    </row>
    <row r="11" ht="32" customHeight="1">
      <c r="A11" s="18" t="inlineStr">
        <is>
          <t>A股科创50指数单月跌幅 &gt; 10%</t>
        </is>
      </c>
      <c r="B11" s="18" t="inlineStr">
        <is>
          <t>ETF基底加仓 5%（科创芯片ETF）</t>
        </is>
      </c>
      <c r="C11" s="36" t="inlineStr">
        <is>
          <t>组合层面</t>
        </is>
      </c>
      <c r="D11" s="36" t="inlineStr">
        <is>
          <t>高</t>
        </is>
      </c>
      <c r="E11" s="18" t="inlineStr">
        <is>
          <t>系统性回调中加仓</t>
        </is>
      </c>
    </row>
    <row r="12" ht="32" customHeight="1">
      <c r="A12" s="17" t="inlineStr">
        <is>
          <t>任一单一标的 6-12 月达到目标空间上限</t>
        </is>
      </c>
      <c r="B12" s="17" t="inlineStr">
        <is>
          <t>减半或全清，转入低分位标的</t>
        </is>
      </c>
      <c r="C12" s="24" t="inlineStr">
        <is>
          <t>组合层面</t>
        </is>
      </c>
      <c r="D12" s="24" t="inlineStr">
        <is>
          <t>中</t>
        </is>
      </c>
      <c r="E12" s="17" t="inlineStr">
        <is>
          <t>纪律性止盈</t>
        </is>
      </c>
    </row>
    <row r="13" ht="32" customHeight="1">
      <c r="A13" s="17" t="inlineStr">
        <is>
          <t>佰维存储 单月涨幅 &gt; 60%</t>
        </is>
      </c>
      <c r="B13" s="17" t="inlineStr">
        <is>
          <t>止盈 30%</t>
        </is>
      </c>
      <c r="C13" s="24" t="inlineStr">
        <is>
          <t>半导体存储</t>
        </is>
      </c>
      <c r="D13" s="24" t="inlineStr">
        <is>
          <t>中</t>
        </is>
      </c>
      <c r="E13" s="17" t="inlineStr">
        <is>
          <t>高弹性标的止盈纪律</t>
        </is>
      </c>
    </row>
    <row r="14" ht="32" customHeight="1">
      <c r="A14" s="17" t="inlineStr">
        <is>
          <t>宁德时代 PE_TTM &gt; 32x</t>
        </is>
      </c>
      <c r="B14" s="17" t="inlineStr">
        <is>
          <t>卖出 50%</t>
        </is>
      </c>
      <c r="C14" s="24" t="inlineStr">
        <is>
          <t>新能源(电池)</t>
        </is>
      </c>
      <c r="D14" s="24" t="inlineStr">
        <is>
          <t>中</t>
        </is>
      </c>
      <c r="E14" s="17" t="inlineStr">
        <is>
          <t>估值上限</t>
        </is>
      </c>
    </row>
    <row r="15" ht="32" customHeight="1">
      <c r="A15" s="18" t="inlineStr">
        <is>
          <t>海光信息 PE_TTM &gt; 350x</t>
        </is>
      </c>
      <c r="B15" s="18" t="inlineStr">
        <is>
          <t>全清</t>
        </is>
      </c>
      <c r="C15" s="36" t="inlineStr">
        <is>
          <t>AI算力(国产)</t>
        </is>
      </c>
      <c r="D15" s="36" t="inlineStr">
        <is>
          <t>高</t>
        </is>
      </c>
      <c r="E15" s="18" t="inlineStr">
        <is>
          <t>估值严重透支</t>
        </is>
      </c>
    </row>
    <row r="16" ht="32" customHeight="1">
      <c r="A16" s="18" t="inlineStr">
        <is>
          <t>组合累计回撤 &gt; 10%</t>
        </is>
      </c>
      <c r="B16" s="18" t="inlineStr">
        <is>
          <t>弹性仓位减半</t>
        </is>
      </c>
      <c r="C16" s="36" t="inlineStr">
        <is>
          <t>组合层面</t>
        </is>
      </c>
      <c r="D16" s="36" t="inlineStr">
        <is>
          <t>高</t>
        </is>
      </c>
      <c r="E16" s="18" t="inlineStr">
        <is>
          <t>组合层面止损线 ①</t>
        </is>
      </c>
    </row>
    <row r="17" ht="32" customHeight="1">
      <c r="A17" s="18" t="inlineStr">
        <is>
          <t>组合累计回撤 &gt; 15%</t>
        </is>
      </c>
      <c r="B17" s="18" t="inlineStr">
        <is>
          <t>仅保留核心仓位 + ETF基底</t>
        </is>
      </c>
      <c r="C17" s="36" t="inlineStr">
        <is>
          <t>组合层面</t>
        </is>
      </c>
      <c r="D17" s="36" t="inlineStr">
        <is>
          <t>高</t>
        </is>
      </c>
      <c r="E17" s="18" t="inlineStr">
        <is>
          <t>组合层面止损线 ②</t>
        </is>
      </c>
    </row>
    <row r="18" ht="32" customHeight="1">
      <c r="A18" s="18" t="inlineStr">
        <is>
          <t>组合累计回撤 &gt; 20%</t>
        </is>
      </c>
      <c r="B18" s="18" t="inlineStr">
        <is>
          <t>全清个股，仅保留ETF</t>
        </is>
      </c>
      <c r="C18" s="36" t="inlineStr">
        <is>
          <t>组合层面</t>
        </is>
      </c>
      <c r="D18" s="36" t="inlineStr">
        <is>
          <t>高</t>
        </is>
      </c>
      <c r="E18" s="18" t="inlineStr">
        <is>
          <t>组合层面止损线 ③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36" customWidth="1" min="4" max="4"/>
  </cols>
  <sheetData>
    <row r="1" ht="26" customHeight="1">
      <c r="A1" s="23" t="inlineStr">
        <is>
          <t>风险与止损线 · 组合层面 + 单标的层面</t>
        </is>
      </c>
    </row>
    <row r="3">
      <c r="A3" s="5" t="inlineStr">
        <is>
          <t>A. 组合层面止损警戒线</t>
        </is>
      </c>
    </row>
    <row r="4">
      <c r="A4" s="6" t="inlineStr">
        <is>
          <t>回撤水平</t>
        </is>
      </c>
      <c r="B4" s="6" t="inlineStr">
        <is>
          <t>触发动作</t>
        </is>
      </c>
      <c r="C4" s="6" t="inlineStr">
        <is>
          <t>保留仓位</t>
        </is>
      </c>
      <c r="D4" s="6" t="inlineStr">
        <is>
          <t>备注</t>
        </is>
      </c>
    </row>
    <row r="5" ht="28" customHeight="1">
      <c r="A5" s="30" t="inlineStr">
        <is>
          <t>-10%</t>
        </is>
      </c>
      <c r="B5" s="20" t="inlineStr">
        <is>
          <t>弹性仓位减半</t>
        </is>
      </c>
      <c r="C5" s="20" t="inlineStr">
        <is>
          <t>核心 55% + ETF 15% + 弹性 15%</t>
        </is>
      </c>
      <c r="D5" s="20" t="inlineStr">
        <is>
          <t>第一道警戒线，启动纪律性减仓</t>
        </is>
      </c>
    </row>
    <row r="6" ht="28" customHeight="1">
      <c r="A6" s="24" t="inlineStr">
        <is>
          <t>-15%</t>
        </is>
      </c>
      <c r="B6" s="17" t="inlineStr">
        <is>
          <t>仅保留核心 + ETF</t>
        </is>
      </c>
      <c r="C6" s="17" t="inlineStr">
        <is>
          <t>核心 55% + ETF 15%</t>
        </is>
      </c>
      <c r="D6" s="17" t="inlineStr">
        <is>
          <t>进一步降低组合β</t>
        </is>
      </c>
    </row>
    <row r="7" ht="28" customHeight="1">
      <c r="A7" s="36" t="inlineStr">
        <is>
          <t>-20%</t>
        </is>
      </c>
      <c r="B7" s="18" t="inlineStr">
        <is>
          <t>全清个股，仅保留ETF</t>
        </is>
      </c>
      <c r="C7" s="18" t="inlineStr">
        <is>
          <t>ETF 15%（视情况转入现金）</t>
        </is>
      </c>
      <c r="D7" s="18" t="inlineStr">
        <is>
          <t>完全退出 active 仓位</t>
        </is>
      </c>
    </row>
    <row r="9">
      <c r="A9" s="5" t="inlineStr">
        <is>
          <t>B. 单标的止盈/止损纪律</t>
        </is>
      </c>
    </row>
    <row r="10">
      <c r="A10" s="6" t="inlineStr">
        <is>
          <t>标的</t>
        </is>
      </c>
      <c r="B10" s="6" t="inlineStr">
        <is>
          <t>触发条件</t>
        </is>
      </c>
      <c r="C10" s="6" t="inlineStr">
        <is>
          <t>动作</t>
        </is>
      </c>
      <c r="D10" s="6" t="inlineStr">
        <is>
          <t>备注</t>
        </is>
      </c>
    </row>
    <row r="11" ht="28" customHeight="1">
      <c r="A11" s="24" t="inlineStr">
        <is>
          <t>工业富联 (601138.SH)</t>
        </is>
      </c>
      <c r="B11" s="24" t="inlineStr">
        <is>
          <t>PE_TTM &gt; 40x（当前 31x）</t>
        </is>
      </c>
      <c r="C11" s="24" t="inlineStr">
        <is>
          <t>减半</t>
        </is>
      </c>
      <c r="D11" s="17" t="inlineStr">
        <is>
          <t>估值切换至2027年前的天花板</t>
        </is>
      </c>
    </row>
    <row r="12" ht="28" customHeight="1">
      <c r="A12" s="36" t="inlineStr">
        <is>
          <t>中际旭创 (300308.SZ)</t>
        </is>
      </c>
      <c r="B12" s="36" t="inlineStr">
        <is>
          <t>突破 1,400 元</t>
        </is>
      </c>
      <c r="C12" s="36" t="inlineStr">
        <is>
          <t>减半</t>
        </is>
      </c>
      <c r="D12" s="18" t="inlineStr">
        <is>
          <t>对应 2026 PE 65x 以上</t>
        </is>
      </c>
    </row>
    <row r="13" ht="28" customHeight="1">
      <c r="A13" s="24" t="inlineStr">
        <is>
          <t>佰维存储 (688525.SH)</t>
        </is>
      </c>
      <c r="B13" s="24" t="inlineStr">
        <is>
          <t>单月涨幅 &gt; 60%</t>
        </is>
      </c>
      <c r="C13" s="24" t="inlineStr">
        <is>
          <t>止盈 30%</t>
        </is>
      </c>
      <c r="D13" s="17" t="inlineStr">
        <is>
          <t>高弹性标的纪律性止盈</t>
        </is>
      </c>
    </row>
    <row r="14" ht="28" customHeight="1">
      <c r="A14" s="36" t="inlineStr">
        <is>
          <t>宁德时代 (300750.SZ)</t>
        </is>
      </c>
      <c r="B14" s="36" t="inlineStr">
        <is>
          <t>PE_TTM &gt; 32x</t>
        </is>
      </c>
      <c r="C14" s="36" t="inlineStr">
        <is>
          <t>卖出 50%</t>
        </is>
      </c>
      <c r="D14" s="18" t="inlineStr">
        <is>
          <t>估值上限</t>
        </is>
      </c>
    </row>
    <row r="15" ht="28" customHeight="1">
      <c r="A15" s="24" t="inlineStr">
        <is>
          <t>海光信息 (688041.SH)</t>
        </is>
      </c>
      <c r="B15" s="24" t="inlineStr">
        <is>
          <t>PE_TTM &gt; 350x（当前 298x）</t>
        </is>
      </c>
      <c r="C15" s="24" t="inlineStr">
        <is>
          <t>全清</t>
        </is>
      </c>
      <c r="D15" s="17" t="inlineStr">
        <is>
          <t>估值已严重透支</t>
        </is>
      </c>
    </row>
    <row r="16" ht="28" customHeight="1">
      <c r="A16" s="36" t="inlineStr">
        <is>
          <t>沪电股份 (002463.SZ)</t>
        </is>
      </c>
      <c r="B16" s="36" t="inlineStr">
        <is>
          <t>PE_TTM &gt; 65x</t>
        </is>
      </c>
      <c r="C16" s="36" t="inlineStr">
        <is>
          <t>减半</t>
        </is>
      </c>
      <c r="D16" s="18" t="inlineStr">
        <is>
          <t>PCB板块过热信号</t>
        </is>
      </c>
    </row>
    <row r="17" ht="28" customHeight="1">
      <c r="A17" s="24" t="inlineStr">
        <is>
          <t>英维克 (002837.SZ)</t>
        </is>
      </c>
      <c r="B17" s="24" t="inlineStr">
        <is>
          <t>Q2-Q3 订单兑现不及预期 + PE &gt; 250x</t>
        </is>
      </c>
      <c r="C17" s="24" t="inlineStr">
        <is>
          <t>减半</t>
        </is>
      </c>
      <c r="D17" s="17" t="inlineStr">
        <is>
          <t>项目交付节奏与估值双重风险</t>
        </is>
      </c>
    </row>
    <row r="18" ht="28" customHeight="1">
      <c r="A18" s="36" t="inlineStr">
        <is>
          <t>大金重工 (002487.SZ)</t>
        </is>
      </c>
      <c r="B18" s="36" t="inlineStr">
        <is>
          <t>PB &gt; 8x 或业绩单季同比 &lt; +50%</t>
        </is>
      </c>
      <c r="C18" s="36" t="inlineStr">
        <is>
          <t>减半</t>
        </is>
      </c>
      <c r="D18" s="18" t="inlineStr">
        <is>
          <t>PB 分位97%容错率极低</t>
        </is>
      </c>
    </row>
    <row r="19" ht="28" customHeight="1">
      <c r="A19" s="24" t="inlineStr">
        <is>
          <t>中国核电 (601985.SH)</t>
        </is>
      </c>
      <c r="B19" s="24" t="inlineStr">
        <is>
          <t>PB &gt; 2.0x 或股息率 &lt; 1.3%</t>
        </is>
      </c>
      <c r="C19" s="24" t="inlineStr">
        <is>
          <t>止盈 30%</t>
        </is>
      </c>
      <c r="D19" s="17" t="inlineStr">
        <is>
          <t>稳健底仓的估值上限</t>
        </is>
      </c>
    </row>
    <row r="20" ht="28" customHeight="1">
      <c r="A20" s="36" t="inlineStr">
        <is>
          <t>澜起科技 (688008.SH)</t>
        </is>
      </c>
      <c r="B20" s="36" t="inlineStr">
        <is>
          <t>PE_TTM &gt; 80x 且单季营收增速 &lt; +30%</t>
        </is>
      </c>
      <c r="C20" s="36" t="inlineStr">
        <is>
          <t>减半</t>
        </is>
      </c>
      <c r="D20" s="18" t="inlineStr">
        <is>
          <t>周期切换信号</t>
        </is>
      </c>
    </row>
    <row r="21" ht="28" customHeight="1">
      <c r="A21" s="24" t="inlineStr">
        <is>
          <t>兆易创新 (603986.SH)</t>
        </is>
      </c>
      <c r="B21" s="24" t="inlineStr">
        <is>
          <t>存储合约价见顶 + 单季净利环比 &lt; 0</t>
        </is>
      </c>
      <c r="C21" s="24" t="inlineStr">
        <is>
          <t>止盈 50%</t>
        </is>
      </c>
      <c r="D21" s="17" t="inlineStr">
        <is>
          <t>周期顶部信号</t>
        </is>
      </c>
    </row>
    <row r="22" ht="28" customHeight="1">
      <c r="A22" s="36" t="inlineStr">
        <is>
          <t>东方电缆 (603606.SH)</t>
        </is>
      </c>
      <c r="B22" s="36" t="inlineStr">
        <is>
          <t>PE分位 &gt; 60% 或单标的累计 +50%</t>
        </is>
      </c>
      <c r="C22" s="36" t="inlineStr">
        <is>
          <t>止盈 30%</t>
        </is>
      </c>
      <c r="D22" s="18" t="inlineStr">
        <is>
          <t>估值修复完成</t>
        </is>
      </c>
    </row>
    <row r="24">
      <c r="A24" s="5" t="inlineStr">
        <is>
          <t>C. 组合共同尾部风险（来自 synthesis.md 5.1 节）</t>
        </is>
      </c>
    </row>
    <row r="25">
      <c r="A25" s="6" t="inlineStr">
        <is>
          <t>风险事件</t>
        </is>
      </c>
      <c r="B25" s="6" t="inlineStr">
        <is>
          <t>发生概率</t>
        </is>
      </c>
      <c r="C25" s="6" t="inlineStr">
        <is>
          <t>潜在影响</t>
        </is>
      </c>
      <c r="D25" s="6" t="inlineStr">
        <is>
          <t>暴露板块</t>
        </is>
      </c>
    </row>
    <row r="26" ht="26" customHeight="1">
      <c r="A26" s="30" t="inlineStr">
        <is>
          <t>北美 CSP capex 2027 年增速 +77% → &lt; +30%</t>
        </is>
      </c>
      <c r="B26" s="30" t="inlineStr">
        <is>
          <t>中</t>
        </is>
      </c>
      <c r="C26" s="30" t="inlineStr">
        <is>
          <t>高</t>
        </is>
      </c>
      <c r="D26" s="20" t="inlineStr">
        <is>
          <t>AI算力(高) / 存储(中-高) / 储能(低)</t>
        </is>
      </c>
    </row>
    <row r="27" ht="26" customHeight="1">
      <c r="A27" s="30" t="inlineStr">
        <is>
          <t>美国出口管制升级（Blackwell/Rubin 扩大禁售）</t>
        </is>
      </c>
      <c r="B27" s="30" t="inlineStr">
        <is>
          <t>中低</t>
        </is>
      </c>
      <c r="C27" s="30" t="inlineStr">
        <is>
          <t>高</t>
        </is>
      </c>
      <c r="D27" s="20" t="inlineStr">
        <is>
          <t>AI算力(高) / 存储(中) / 新能源(低)</t>
        </is>
      </c>
    </row>
    <row r="28" ht="26" customHeight="1">
      <c r="A28" s="30" t="inlineStr">
        <is>
          <t>A股流动性收紧 / 10Y国债 &gt; 2.5%</t>
        </is>
      </c>
      <c r="B28" s="30" t="inlineStr">
        <is>
          <t>中低</t>
        </is>
      </c>
      <c r="C28" s="30" t="inlineStr">
        <is>
          <t>高</t>
        </is>
      </c>
      <c r="D28" s="20" t="inlineStr">
        <is>
          <t>高估值标的（AI国产链 / 存储链）</t>
        </is>
      </c>
    </row>
    <row r="29" ht="26" customHeight="1">
      <c r="A29" s="30" t="inlineStr">
        <is>
          <t>地缘冲突 / 台海局势</t>
        </is>
      </c>
      <c r="B29" s="30" t="inlineStr">
        <is>
          <t>低</t>
        </is>
      </c>
      <c r="C29" s="30" t="inlineStr">
        <is>
          <t>极高</t>
        </is>
      </c>
      <c r="D29" s="20" t="inlineStr">
        <is>
          <t>全板块</t>
        </is>
      </c>
    </row>
    <row r="30" ht="26" customHeight="1">
      <c r="A30" s="30" t="inlineStr">
        <is>
          <t>碳酸锂 2026 下半年 V→倒V，库存减值</t>
        </is>
      </c>
      <c r="B30" s="30" t="inlineStr">
        <is>
          <t>中</t>
        </is>
      </c>
      <c r="C30" s="30" t="inlineStr">
        <is>
          <t>中</t>
        </is>
      </c>
      <c r="D30" s="20" t="inlineStr">
        <is>
          <t>新能源(电池/正极)</t>
        </is>
      </c>
    </row>
    <row r="31" ht="26" customHeight="1">
      <c r="A31" s="30" t="inlineStr">
        <is>
          <t>光伏治理执行不及预期</t>
        </is>
      </c>
      <c r="B31" s="30" t="inlineStr">
        <is>
          <t>中</t>
        </is>
      </c>
      <c r="C31" s="30" t="inlineStr">
        <is>
          <t>中</t>
        </is>
      </c>
      <c r="D31" s="20" t="inlineStr">
        <is>
          <t>新能源(光伏链)</t>
        </is>
      </c>
    </row>
  </sheetData>
  <mergeCells count="4">
    <mergeCell ref="A1:D1"/>
    <mergeCell ref="A9:D9"/>
    <mergeCell ref="A3:D3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2026-05-13T03:56:04Z</dcterms:created>
  <dcterms:modified xmlns:dcterms="http://purl.org/dc/terms/" xmlns:xsi="http://www.w3.org/2001/XMLSchema-instance" xsi:type="dcterms:W3CDTF">2026-05-13T04:03:24Z</dcterms:modified>
</cp:coreProperties>
</file>